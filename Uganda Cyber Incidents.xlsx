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idents" sheetId="1" state="visible" r:id="rId3"/>
    <sheet name="Sector Analysis" sheetId="2" state="visible" r:id="rId4"/>
    <sheet name="National Stats" sheetId="3" state="visible" r:id="rId5"/>
    <sheet name="Notes &amp; Method" sheetId="4" state="visible" r:id="rId6"/>
  </sheets>
  <definedNames>
    <definedName function="false" hidden="true" localSheetId="0" name="_xlnm._FilterDatabase" vbProcedure="false">Incidents!$A$1:$R$23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<sst xmlns="http://schemas.openxmlformats.org/spreadsheetml/2006/main" count="459" uniqueCount="347">
  <si>
    <t xml:space="preserve">ID</t>
  </si>
  <si>
    <t xml:space="preserve">Year</t>
  </si>
  <si>
    <t xml:space="preserve">Date / Period</t>
  </si>
  <si>
    <t xml:space="preserve">Organisation(s) Affected</t>
  </si>
  <si>
    <t xml:space="preserve">Sector (Primary)</t>
  </si>
  <si>
    <t xml:space="preserve">Sub-sector</t>
  </si>
  <si>
    <t xml:space="preserve">Other Sectors Affected</t>
  </si>
  <si>
    <t xml:space="preserve">Incident Type</t>
  </si>
  <si>
    <t xml:space="preserve">Method / Attack Vector</t>
  </si>
  <si>
    <t xml:space="preserve">Threat Actor (as reported)</t>
  </si>
  <si>
    <t xml:space="preserve">Reported Loss (UGX bn)</t>
  </si>
  <si>
    <t xml:space="preserve">Reported Loss (USD m)</t>
  </si>
  <si>
    <t xml:space="preserve">Data / Systems Affected</t>
  </si>
  <si>
    <t xml:space="preserve">Outcome / Response</t>
  </si>
  <si>
    <t xml:space="preserve">Confidence</t>
  </si>
  <si>
    <t xml:space="preserve">Primary Source(s)</t>
  </si>
  <si>
    <t xml:space="preserve">Source URL</t>
  </si>
  <si>
    <t xml:space="preserve">Notes</t>
  </si>
  <si>
    <t xml:space="preserve">UG-001</t>
  </si>
  <si>
    <t xml:space="preserve">May–Dec 2011 (exposed Mar 2012)</t>
  </si>
  <si>
    <t xml:space="preserve">MTN Uganda – Mobile Money</t>
  </si>
  <si>
    <t xml:space="preserve">Financial Services</t>
  </si>
  <si>
    <t xml:space="preserve">Mobile money (telco-operated)</t>
  </si>
  <si>
    <t xml:space="preserve">Telecommunications</t>
  </si>
  <si>
    <t xml:space="preserve">Insider fraud</t>
  </si>
  <si>
    <t xml:space="preserve">Staff abused privileged access and an unreconciled suspense account while the mobile money platform had capacity problems; fictitious subscriber accounts used</t>
  </si>
  <si>
    <t xml:space="preserve">Insiders (MTN employees)</t>
  </si>
  <si>
    <t xml:space="preserve">Mobile money suspense account / e-float</t>
  </si>
  <si>
    <t xml:space="preserve">Ex-employees charged in Anti-Corruption Court (embezzlement, electronic fraud); MTN tightened controls</t>
  </si>
  <si>
    <t xml:space="preserve">Confirmed</t>
  </si>
  <si>
    <t xml:space="preserve">CGAP; Daily Monitor</t>
  </si>
  <si>
    <t xml:space="preserve">https://www.cgap.org/blog/fraud-in-uganda-how-millions-were-lost-to-internal-collusion</t>
  </si>
  <si>
    <t xml:space="preserve">Figures in court coverage range UGX 5–10bn; CGAP cites UGX 10bn (USD 3.4m).</t>
  </si>
  <si>
    <t xml:space="preserve">UG-002</t>
  </si>
  <si>
    <t xml:space="preserve">Reported Jun 2012 (ran ~1 year)</t>
  </si>
  <si>
    <t xml:space="preserve">Uganda Revenue Authority (URA) – customs systems</t>
  </si>
  <si>
    <t xml:space="preserve">Government &amp; Public Sector</t>
  </si>
  <si>
    <t xml:space="preserve">Tax / revenue administration</t>
  </si>
  <si>
    <t xml:space="preserve">Unauthorised access / system fraud</t>
  </si>
  <si>
    <t xml:space="preserve">Illegal access to customs system to push fraudulent transactions; URA did not rule out insider help</t>
  </si>
  <si>
    <t xml:space="preserve">4 suspects incl. an ICT specialist and clearing agents</t>
  </si>
  <si>
    <t xml:space="preserve">Customs clearance system</t>
  </si>
  <si>
    <t xml:space="preserve">4 arrested by URA enforcement and police</t>
  </si>
  <si>
    <t xml:space="preserve">The Independent; PC Tech Magazine</t>
  </si>
  <si>
    <t xml:space="preserve">https://www.independent.co.ug/ugly-face-hacking/</t>
  </si>
  <si>
    <t xml:space="preserve">Losses of about UGX 2bn over roughly a year.</t>
  </si>
  <si>
    <t xml:space="preserve">UG-003</t>
  </si>
  <si>
    <t xml:space="preserve">Aug 2012</t>
  </si>
  <si>
    <t xml:space="preserve">Office of the Prime Minister, Parliament, Uganda Securities Exchange, Uganda Law Society websites; JLOS database</t>
  </si>
  <si>
    <t xml:space="preserve">Central government websites</t>
  </si>
  <si>
    <t xml:space="preserve">Financial Services; Legal</t>
  </si>
  <si>
    <t xml:space="preserve">Website defacement / hacktivism</t>
  </si>
  <si>
    <t xml:space="preserve">Websites defaced with spoof statements; JLOS admin passwords exposed</t>
  </si>
  <si>
    <t xml:space="preserve">Anonymous / #TheEliteSociety; @PinkNinj4</t>
  </si>
  <si>
    <t xml:space="preserve">Public websites; admin credentials</t>
  </si>
  <si>
    <t xml:space="preserve">Sites restored</t>
  </si>
  <si>
    <t xml:space="preserve">Reported</t>
  </si>
  <si>
    <t xml:space="preserve">Global Voices; NBC News (Reuters); PinkNews</t>
  </si>
  <si>
    <t xml:space="preserve">https://www.nbcnews.com/news/world/activists-hack-uganda-government-website-over-gay-rights-flna946822</t>
  </si>
  <si>
    <t xml:space="preserve">Protest against anti-homosexuality bill. By Dec 2012 Anonymous claimed ~9 .go.ug and ~6 commercial sites compromised (PRI).</t>
  </si>
  <si>
    <t xml:space="preserve">UG-004</t>
  </si>
  <si>
    <t xml:space="preserve">May 2013</t>
  </si>
  <si>
    <t xml:space="preserve">40+ websites: ministries (Finance, ICT, Agriculture, Public Service), KCCA, NITA-U, PPDA, Uganda Police, NARO, district local governments; plus private sites</t>
  </si>
  <si>
    <t xml:space="preserve">Central &amp; local government websites</t>
  </si>
  <si>
    <t xml:space="preserve">Financial Services; Media; Hospitality</t>
  </si>
  <si>
    <t xml:space="preserve">Mass defacement – pages replaced with group message</t>
  </si>
  <si>
    <t xml:space="preserve">Islamic Ghosts Team</t>
  </si>
  <si>
    <t xml:space="preserve">Public websites</t>
  </si>
  <si>
    <t xml:space="preserve">Sites taken offline for restoration</t>
  </si>
  <si>
    <t xml:space="preserve">PC Tech Magazine</t>
  </si>
  <si>
    <t xml:space="preserve">https://pctechmag.com/2013/05/over-40-uganda-government-websites-hacked-by-islamic-ghosts-team/</t>
  </si>
  <si>
    <t xml:space="preserve">Private victims included Opportunity Bank, Pride Microfinance, WBS TV and hotels.</t>
  </si>
  <si>
    <t xml:space="preserve">UG-005</t>
  </si>
  <si>
    <t xml:space="preserve">Reported Jun 2014</t>
  </si>
  <si>
    <t xml:space="preserve">Makerere University – student results</t>
  </si>
  <si>
    <t xml:space="preserve">Education</t>
  </si>
  <si>
    <t xml:space="preserve">Higher education</t>
  </si>
  <si>
    <t xml:space="preserve">Unauthorised access / records manipulation</t>
  </si>
  <si>
    <t xml:space="preserve">Alleged alteration of student grades in exchange for payment</t>
  </si>
  <si>
    <t xml:space="preserve">IT PhD student</t>
  </si>
  <si>
    <t xml:space="preserve">Academic results records</t>
  </si>
  <si>
    <t xml:space="preserve">Suspect arrested</t>
  </si>
  <si>
    <t xml:space="preserve">PC Tech Magazine (NTV)</t>
  </si>
  <si>
    <t xml:space="preserve">https://pctechmag.com/2014/06/makerere-university-hacker-who-was-altering-student-results-arrested-video/</t>
  </si>
  <si>
    <t xml:space="preserve">UG-006</t>
  </si>
  <si>
    <t xml:space="preserve">Reported Jul 2014 (convicted Apr 2015)</t>
  </si>
  <si>
    <t xml:space="preserve">Illegal access to mobile money system; funds wired to 7 registered agent lines</t>
  </si>
  <si>
    <t xml:space="preserve">Insiders (staff, agents, contractors)</t>
  </si>
  <si>
    <t xml:space="preserve">Mobile money information system</t>
  </si>
  <si>
    <t xml:space="preserve">6 convicted by Anti-Corruption Court (Apr 2015); 3 acquitted</t>
  </si>
  <si>
    <t xml:space="preserve">NextBillion (citing PC Tech Magazine / TechMoran)</t>
  </si>
  <si>
    <t xml:space="preserve">https://nextbillion.net/news/former-mtn-uganda-staff-get-9-years-jail-for-mobile-money-fraud</t>
  </si>
  <si>
    <t xml:space="preserve">UG-007</t>
  </si>
  <si>
    <t xml:space="preserve">c. 2015–16 (exact date unverified)</t>
  </si>
  <si>
    <t xml:space="preserve">Ministry of Foreign Affairs website + 20 Uganda High Commission websites</t>
  </si>
  <si>
    <t xml:space="preserve">Mass defacement, likely via shared server</t>
  </si>
  <si>
    <t xml:space="preserve">GeNiuS-JorDan</t>
  </si>
  <si>
    <t xml:space="preserve">HackRead</t>
  </si>
  <si>
    <t xml:space="preserve">https://hackread.com/uganda-high-commission-website-hacked/</t>
  </si>
  <si>
    <t xml:space="preserve">Anti-war message; date approximate – verify before citing.</t>
  </si>
  <si>
    <t xml:space="preserve">UG-008</t>
  </si>
  <si>
    <t xml:space="preserve">Feb–Sep 2017</t>
  </si>
  <si>
    <t xml:space="preserve">Makerere University – academic records system</t>
  </si>
  <si>
    <t xml:space="preserve">Results system infiltrated to falsify marks and add ineligible graduands</t>
  </si>
  <si>
    <t xml:space="preserve">Insiders (staff, alumni, students – 88 implicated)</t>
  </si>
  <si>
    <t xml:space="preserve">14,895 transcripts withheld; 58 names withdrawn from graduation list</t>
  </si>
  <si>
    <t xml:space="preserve">Transcript system shut down; staff dismissed; police referral</t>
  </si>
  <si>
    <t xml:space="preserve">Daily Monitor; University World News</t>
  </si>
  <si>
    <t xml:space="preserve">https://www.monitor.co.ug/uganda/news/education/makerere-withholds-14-000-transcripts-over-fake-marks-1693578</t>
  </si>
  <si>
    <t xml:space="preserve">UG-009</t>
  </si>
  <si>
    <t xml:space="preserve">Jan 2019</t>
  </si>
  <si>
    <t xml:space="preserve">Ministry of Gender, Labour &amp; Social Development – External Labour Information Management System</t>
  </si>
  <si>
    <t xml:space="preserve">Central government systems</t>
  </si>
  <si>
    <t xml:space="preserve">Data breach / exposure</t>
  </si>
  <si>
    <t xml:space="preserve">Intrusion to steal labour-export recruitment data; system crashed</t>
  </si>
  <si>
    <t xml:space="preserve">Suspected insider</t>
  </si>
  <si>
    <t xml:space="preserve">Labour export company vetting records &amp; documents</t>
  </si>
  <si>
    <t xml:space="preserve">Under investigation</t>
  </si>
  <si>
    <t xml:space="preserve">Daily Monitor (via InfoSec News)</t>
  </si>
  <si>
    <t xml:space="preserve">https://seclists.org/isn/2019/Jan/64</t>
  </si>
  <si>
    <t xml:space="preserve">UG-010</t>
  </si>
  <si>
    <t xml:space="preserve">2019 (year-long)</t>
  </si>
  <si>
    <t xml:space="preserve">Multiple banks &amp; mobile money providers</t>
  </si>
  <si>
    <t xml:space="preserve">Banking &amp; mobile money</t>
  </si>
  <si>
    <t xml:space="preserve">SIM-swap fraud</t>
  </si>
  <si>
    <t xml:space="preserve">519 fraudulently swapped pre-registered SIM cards used to transfer money; duplicate national IDs used for SIM registration</t>
  </si>
  <si>
    <t xml:space="preserve">Organised fraud rings</t>
  </si>
  <si>
    <t xml:space="preserve">Customer bank &amp; mobile money accounts</t>
  </si>
  <si>
    <t xml:space="preserve">Police investigations</t>
  </si>
  <si>
    <t xml:space="preserve">Serianu – Africa Cybersecurity Report: Uganda 2019/2020</t>
  </si>
  <si>
    <t xml:space="preserve">https://www.serianu.com/downloads/UgandaCyberSecurityReport2020.pdf</t>
  </si>
  <si>
    <t xml:space="preserve">Campaign-level entry, not a single incident.</t>
  </si>
  <si>
    <t xml:space="preserve">UG-011</t>
  </si>
  <si>
    <t xml:space="preserve">1–3 Oct 2020</t>
  </si>
  <si>
    <t xml:space="preserve">Pegasus Technologies (payments aggregator) – affecting MTN MoMo, Airtel Money, Stanbic Bank, Bank of Africa</t>
  </si>
  <si>
    <t xml:space="preserve">Payments aggregator / bank-to-wallet</t>
  </si>
  <si>
    <t xml:space="preserve">System manipulation of bank-to-wallet transfers; ~1,630 fraudulently registered SIM cards used to cash out at agents</t>
  </si>
  <si>
    <t xml:space="preserve">Insider-enabled (Stanbic employee who was also Pegasus external sysadmin) + cash-out network</t>
  </si>
  <si>
    <t xml:space="preserve">Bank-to-mobile-money integration platform</t>
  </si>
  <si>
    <t xml:space="preserve">Bank-to-wallet services suspended; suspects arrested and charged (Dec 2020)</t>
  </si>
  <si>
    <t xml:space="preserve">Eagle Online (citing CID); CEO East Africa; PML Daily</t>
  </si>
  <si>
    <t xml:space="preserve">https://eagle.co.ug/2020/12/11/stanbic-bank-employee-arrested-over-recent-shs10-billion-electronic-scam</t>
  </si>
  <si>
    <t xml:space="preserve">Early estimates were ~USD 3.2m; police later put loss at UGX 10.44bn.</t>
  </si>
  <si>
    <t xml:space="preserve">UG-012</t>
  </si>
  <si>
    <t xml:space="preserve">16 Jan 2021</t>
  </si>
  <si>
    <t xml:space="preserve">Parliament of Uganda and other government &amp; media websites</t>
  </si>
  <si>
    <t xml:space="preserve">Media</t>
  </si>
  <si>
    <t xml:space="preserve">Website attacks and information leaks</t>
  </si>
  <si>
    <t xml:space="preserve">Anonymousx64</t>
  </si>
  <si>
    <t xml:space="preserve">TechRafiki</t>
  </si>
  <si>
    <t xml:space="preserve">https://techrafiki.com/uganda-government-websites-hacked-by-anonymous/</t>
  </si>
  <si>
    <t xml:space="preserve">Protest over election-period internet shutdown.</t>
  </si>
  <si>
    <t xml:space="preserve">UG-013</t>
  </si>
  <si>
    <t xml:space="preserve">Feb–Mar 2021</t>
  </si>
  <si>
    <t xml:space="preserve">Civil Service College Uganda website; MPs' personal data</t>
  </si>
  <si>
    <t xml:space="preserve">Central government websites / data</t>
  </si>
  <si>
    <t xml:space="preserve">Website defaced twice; MPs' personal &amp; next-of-kin data leaked</t>
  </si>
  <si>
    <t xml:space="preserve">YourAnonWolf (Anonymous-affiliated)</t>
  </si>
  <si>
    <t xml:space="preserve">Website; MPs' personal data</t>
  </si>
  <si>
    <t xml:space="preserve">The Observer</t>
  </si>
  <si>
    <t xml:space="preserve">https://observer.ug/news/hackers-plan-attacks-on-government-websites/</t>
  </si>
  <si>
    <t xml:space="preserve">Includes a data leak component.</t>
  </si>
  <si>
    <t xml:space="preserve">UG-014</t>
  </si>
  <si>
    <t xml:space="preserve">2022 (reported Nov 2022)</t>
  </si>
  <si>
    <t xml:space="preserve">UGAFODE Microfinance Ltd</t>
  </si>
  <si>
    <t xml:space="preserve">Microfinance (MDI)</t>
  </si>
  <si>
    <t xml:space="preserve">Unauthorised electronic theft (method not disclosed)</t>
  </si>
  <si>
    <t xml:space="preserve">Unknown</t>
  </si>
  <si>
    <t xml:space="preserve">Institution funds</t>
  </si>
  <si>
    <t xml:space="preserve">The Citizen / The EastAfrican</t>
  </si>
  <si>
    <t xml:space="preserve">https://www.thecitizen.co.tz/tanzania/business/how-hackers-stole-billions-from-airtel-money-in-uganda-4026838</t>
  </si>
  <si>
    <t xml:space="preserve">UG-015</t>
  </si>
  <si>
    <t xml:space="preserve">Jun 2022</t>
  </si>
  <si>
    <t xml:space="preserve">Uganda Securities Exchange (USE) &amp; tech partner Soft Edge</t>
  </si>
  <si>
    <t xml:space="preserve">Capital markets</t>
  </si>
  <si>
    <t xml:space="preserve">Unsecured server exposed investor database (~32 GB) for at least 12 days</t>
  </si>
  <si>
    <t xml:space="preserve">Unknown (discovered by researcher)</t>
  </si>
  <si>
    <t xml:space="preserve">Investor personal data incl. passwords &amp; bank details</t>
  </si>
  <si>
    <t xml:space="preserve">PDPO investigation found USE and Soft Edge negligent (2023)</t>
  </si>
  <si>
    <t xml:space="preserve">Daily Monitor; Unwanted Witness; PDPO</t>
  </si>
  <si>
    <t xml:space="preserve">https://www.monitor.co.ug/uganda/business/markets/use-investor-data-was-exposed-to-hackers-investigation-finds--4306532</t>
  </si>
  <si>
    <t xml:space="preserve">UG-016</t>
  </si>
  <si>
    <t xml:space="preserve">28 Oct 2022</t>
  </si>
  <si>
    <t xml:space="preserve">Airtel Mobile Commerce Uganda (Airtel Money)</t>
  </si>
  <si>
    <t xml:space="preserve">Telecommunications; Banking; Microfinance</t>
  </si>
  <si>
    <t xml:space="preserve">Third-party betting platform used as gateway; software tweaked to auto-approve transactions; ~1,800 SIM cards used to withdraw</t>
  </si>
  <si>
    <t xml:space="preserve">Unknown syndicate</t>
  </si>
  <si>
    <t xml:space="preserve">Airtel-to-bank wallet &amp; bulk payment system</t>
  </si>
  <si>
    <t xml:space="preserve">Airtel-to-bank services suspended; Airtel said balances unaffected</t>
  </si>
  <si>
    <t xml:space="preserve">The EastAfrican; The Citizen; Pulse Uganda</t>
  </si>
  <si>
    <t xml:space="preserve">https://www.theeastafrican.co.ke/tea/business-tech/how-hackers-used-betting-site-to-access-airtel-money-in-uganda-4027746</t>
  </si>
  <si>
    <t xml:space="preserve">Early media estimates ranged UGX 30–50bn; later reporting ~UGX 8bn.</t>
  </si>
  <si>
    <t xml:space="preserve">UG-017</t>
  </si>
  <si>
    <t xml:space="preserve">c. Jun–Jul 2023</t>
  </si>
  <si>
    <t xml:space="preserve">Two major commercial banks (unnamed)</t>
  </si>
  <si>
    <t xml:space="preserve">Commercial banking</t>
  </si>
  <si>
    <t xml:space="preserve">Ransomware / extortion</t>
  </si>
  <si>
    <t xml:space="preserve">Phishing-led intrusion; customer data accessed; USD 1m ransom demanded</t>
  </si>
  <si>
    <t xml:space="preserve">Suspected LockBit (per anonymous expert)</t>
  </si>
  <si>
    <t xml:space="preserve">Customer data incl. IDs, statements, credit history of high-net-worth clients</t>
  </si>
  <si>
    <t xml:space="preserve">Ransom refused; banks failed over to backup data centre</t>
  </si>
  <si>
    <t xml:space="preserve">Daily Monitor</t>
  </si>
  <si>
    <t xml:space="preserve">https://www.monitor.co.ug/uganda/special-reports/video-global-cartel-hacks-commercial-banks-demands-1m-4291218</t>
  </si>
  <si>
    <t xml:space="preserve">Based on anonymous sources; date approximate.</t>
  </si>
  <si>
    <t xml:space="preserve">UG-018</t>
  </si>
  <si>
    <t xml:space="preserve">Sep 2024 (reported Nov 2024)</t>
  </si>
  <si>
    <t xml:space="preserve">Bank of Uganda / Ministry of Finance Treasury</t>
  </si>
  <si>
    <t xml:space="preserve">Central bank / public finance</t>
  </si>
  <si>
    <t xml:space="preserve">Two debt-service payments to IDA and AfDF diverted to private accounts in Japan and UK; insider collusion suspected</t>
  </si>
  <si>
    <t xml:space="preserve">'Waste' group named in media; MoFPED officials charged</t>
  </si>
  <si>
    <t xml:space="preserve">Treasury payment systems</t>
  </si>
  <si>
    <t xml:space="preserve">Auditor General audit; 9 MoFPED officials committed for trial; over half of funds recovered</t>
  </si>
  <si>
    <t xml:space="preserve">Daily Monitor; Reuters (via CNBC Africa); The Observer</t>
  </si>
  <si>
    <t xml:space="preserve">https://www.monitor.co.ug/uganda/news/national/police-arrest-nine-govt-officials-over-bank-of-uganda-heist--4913192</t>
  </si>
  <si>
    <t xml:space="preserve">Loss = USD 6.134m + USD 8.597m per audit. Media initially reported UGX 62bn (USD 16.8m).</t>
  </si>
  <si>
    <t xml:space="preserve">UG-019</t>
  </si>
  <si>
    <t xml:space="preserve">18 Aug 2025</t>
  </si>
  <si>
    <t xml:space="preserve">Uganda Electricity Transmission Company Ltd (UETCL)</t>
  </si>
  <si>
    <t xml:space="preserve">Energy &amp; Utilities</t>
  </si>
  <si>
    <t xml:space="preserve">Electricity transmission</t>
  </si>
  <si>
    <t xml:space="preserve">Ransomware; grid monitoring systems compromised; data theft claimed</t>
  </si>
  <si>
    <t xml:space="preserve">Qilin ransomware group</t>
  </si>
  <si>
    <t xml:space="preserve">Grid monitoring systems; contracts, ID documents, financial statements (claimed)</t>
  </si>
  <si>
    <t xml:space="preserve">Service restored via backup protocols</t>
  </si>
  <si>
    <t xml:space="preserve">The Independent (citing INTERPOL Africa Cyberthreat Assessment 2026)</t>
  </si>
  <si>
    <t xml:space="preserve">https://www.independent.co.ug/the-hackers-are-coming-for-africas-critical-infrastructure/</t>
  </si>
  <si>
    <t xml:space="preserve">INTERPOL describes it as a suspected ransomware incident.</t>
  </si>
  <si>
    <t xml:space="preserve">UG-020</t>
  </si>
  <si>
    <t xml:space="preserve">Mar 2026 (Uganda update May 2026)</t>
  </si>
  <si>
    <t xml:space="preserve">Stanbic Bank Uganda (Standard Bank Group data incident)</t>
  </si>
  <si>
    <t xml:space="preserve">Group-level data incident affecting a small set of Ugandan records</t>
  </si>
  <si>
    <t xml:space="preserve">Not disclosed</t>
  </si>
  <si>
    <t xml:space="preserve">Partial data: names, emails, phone numbers, account numbers</t>
  </si>
  <si>
    <t xml:space="preserve">Reported to PDPO; bank says no funds or core systems affected</t>
  </si>
  <si>
    <t xml:space="preserve">Stanbic Bank Uganda statement</t>
  </si>
  <si>
    <t xml:space="preserve">https://www.stanbicbank.co.ug/uganda/personal/about-us/news/An-Important-Data-Incident-Update</t>
  </si>
  <si>
    <t xml:space="preserve">UG-021</t>
  </si>
  <si>
    <t xml:space="preserve">Early Jul 2026 (weekend)</t>
  </si>
  <si>
    <t xml:space="preserve">MTN Uganda &amp; Stanbic Bank Uganda – service outages</t>
  </si>
  <si>
    <t xml:space="preserve">Mobile network &amp; mobile money</t>
  </si>
  <si>
    <t xml:space="preserve">Service disruption (cause disputed)</t>
  </si>
  <si>
    <t xml:space="preserve">Weekend outage of mobile money, data, ATMs, internet banking</t>
  </si>
  <si>
    <t xml:space="preserve">Unconfirmed</t>
  </si>
  <si>
    <t xml:space="preserve">Digital channels</t>
  </si>
  <si>
    <t xml:space="preserve">Services restored</t>
  </si>
  <si>
    <t xml:space="preserve">Disputed</t>
  </si>
  <si>
    <t xml:space="preserve">The EastAfrican; ChimpReports</t>
  </si>
  <si>
    <t xml:space="preserve">https://chimpreports.com/mtn-stanbic-outages-spark-questions/</t>
  </si>
  <si>
    <t xml:space="preserve">The EastAfrican called it a cyber attack; MTN cited a data-centre power outage and neither firm attributed it to an attack.</t>
  </si>
  <si>
    <t xml:space="preserve">UG-022</t>
  </si>
  <si>
    <t xml:space="preserve">Jul 2026</t>
  </si>
  <si>
    <t xml:space="preserve">Unnamed telecom and utility company systems</t>
  </si>
  <si>
    <t xml:space="preserve">Telecom networks</t>
  </si>
  <si>
    <t xml:space="preserve">Alleged syndicate breached telecom &amp; utility systems causing disruptions and unauthorised deductions from customer accounts</t>
  </si>
  <si>
    <t xml:space="preserve">Transnational syndicate; 1,000+ foreign nationals detained</t>
  </si>
  <si>
    <t xml:space="preserve">Customer accounts; network systems</t>
  </si>
  <si>
    <t xml:space="preserve">Joint CID/immigration raids in Kampala &amp; Wakiso; probe ongoing</t>
  </si>
  <si>
    <t xml:space="preserve">Alleged</t>
  </si>
  <si>
    <t xml:space="preserve">The African Mirror; The EastAfrican</t>
  </si>
  <si>
    <t xml:space="preserve">https://theafricanmirror.africa/news/uganda-blows-open-continents-largest-cyber-fraud-bust-over-1000-foreigners-held-over-telecom-and-utility-hacking/</t>
  </si>
  <si>
    <t xml:space="preserve">May be linked to the outage above; no official loss estimate published.</t>
  </si>
  <si>
    <t xml:space="preserve">Which sector is hit the most? – Uganda cyber incidents</t>
  </si>
  <si>
    <t xml:space="preserve">All figures are formulas over the Incidents sheet (rows 2–500), so they update as you add incidents.</t>
  </si>
  <si>
    <t xml:space="preserve">Most-hit sector (by incident count):</t>
  </si>
  <si>
    <t xml:space="preserve">Share of all incidents:</t>
  </si>
  <si>
    <t xml:space="preserve">Share of quantified losses:</t>
  </si>
  <si>
    <t xml:space="preserve">Sector</t>
  </si>
  <si>
    <t xml:space="preserve">Incidents</t>
  </si>
  <si>
    <t xml:space="preserve">Share of Incidents</t>
  </si>
  <si>
    <t xml:space="preserve">Confirmed Incidents</t>
  </si>
  <si>
    <t xml:space="preserve">Incidents 2021–2026</t>
  </si>
  <si>
    <t xml:space="preserve">Share of Quantified Loss</t>
  </si>
  <si>
    <t xml:space="preserve">Rank (by incidents)</t>
  </si>
  <si>
    <t xml:space="preserve">Health</t>
  </si>
  <si>
    <t xml:space="preserve">Other</t>
  </si>
  <si>
    <t xml:space="preserve">Total</t>
  </si>
  <si>
    <t xml:space="preserve">Losses only count incidents with a published figure; most incidents have no disclosed loss.</t>
  </si>
  <si>
    <t xml:space="preserve">Incidents by sector and period</t>
  </si>
  <si>
    <t xml:space="preserve">2011–2015</t>
  </si>
  <si>
    <t xml:space="preserve">2016–2020</t>
  </si>
  <si>
    <t xml:space="preserve">2021–2026</t>
  </si>
  <si>
    <t xml:space="preserve">Incidents by type</t>
  </si>
  <si>
    <t xml:space="preserve">Of which Financial Services</t>
  </si>
  <si>
    <t xml:space="preserve">Inside Financial Services: which sub-sector?</t>
  </si>
  <si>
    <t xml:space="preserve">National cybercrime indicators – Uganda</t>
  </si>
  <si>
    <t xml:space="preserve">Aggregate figures from police and industry reports. Sources disagree in places – see Notes column.</t>
  </si>
  <si>
    <t xml:space="preserve">Cybercrime Cases Reported to Police</t>
  </si>
  <si>
    <t xml:space="preserve">Change vs Prior Listed Year</t>
  </si>
  <si>
    <t xml:space="preserve">Reported Losses (UGX bn)</t>
  </si>
  <si>
    <t xml:space="preserve">Recovered (UGX bn)</t>
  </si>
  <si>
    <t xml:space="preserve">Source</t>
  </si>
  <si>
    <t xml:space="preserve">2019</t>
  </si>
  <si>
    <t xml:space="preserve">-</t>
  </si>
  <si>
    <t xml:space="preserve">Serianu Africa Cybersecurity Report – Uganda 2019/2020 (citing Uganda Police)</t>
  </si>
  <si>
    <t xml:space="preserve">Case count not given in source.</t>
  </si>
  <si>
    <t xml:space="preserve">2022</t>
  </si>
  <si>
    <t xml:space="preserve">Uganda Police Annual Crime Report 2025 (via The EastAfrican); loss via Daily Monitor</t>
  </si>
  <si>
    <t xml:space="preserve">2023</t>
  </si>
  <si>
    <t xml:space="preserve">Uganda Police (via The EastAfrican &amp; Daily Monitor)</t>
  </si>
  <si>
    <t xml:space="preserve">Monitor reports 'over 245 cases' and ~UGX 5bn loss.</t>
  </si>
  <si>
    <t xml:space="preserve">2024</t>
  </si>
  <si>
    <t xml:space="preserve">Uganda Police Annual Crime Report 2024 (via Nile Post, Kikubo Lane)</t>
  </si>
  <si>
    <t xml:space="preserve">The EastAfrican (Jul 2026) cites UGX 41bn for 2024 – figures conflict.</t>
  </si>
  <si>
    <t xml:space="preserve">2025</t>
  </si>
  <si>
    <t xml:space="preserve">Uganda Police Annual Crime Report 2025 (via The EastAfrican)</t>
  </si>
  <si>
    <t xml:space="preserve">Loss figure not found.</t>
  </si>
  <si>
    <t xml:space="preserve">Other indicators (financial sector focus)</t>
  </si>
  <si>
    <t xml:space="preserve">Period</t>
  </si>
  <si>
    <t xml:space="preserve">Indicator</t>
  </si>
  <si>
    <t xml:space="preserve">Value</t>
  </si>
  <si>
    <t xml:space="preserve">Licensed financial institutions affected by cybercrime</t>
  </si>
  <si>
    <t xml:space="preserve">More than 20</t>
  </si>
  <si>
    <t xml:space="preserve">Uganda Police Force (via The EastAfrican, Jul 2026)</t>
  </si>
  <si>
    <t xml:space="preserve">Banking fraud cases / value</t>
  </si>
  <si>
    <t xml:space="preserve">110 cases / UGX 5.3bn</t>
  </si>
  <si>
    <t xml:space="preserve">Uganda Bankers Association (via The EastAfrican)</t>
  </si>
  <si>
    <t xml:space="preserve">Digital fraud as share of all fraud cases</t>
  </si>
  <si>
    <t xml:space="preserve">31.9%</t>
  </si>
  <si>
    <t xml:space="preserve">Uganda Police Annual Cyber Crime Report (via Nile Post)</t>
  </si>
  <si>
    <t xml:space="preserve">Year to Oct 2021</t>
  </si>
  <si>
    <t xml:space="preserve">Losses by Ugandan banks to hackers</t>
  </si>
  <si>
    <t xml:space="preserve">&gt; USD 4m (USD 3m from 10 bank-fraud cases)</t>
  </si>
  <si>
    <t xml:space="preserve">INTERPOL Uganda (via The EastAfrican)</t>
  </si>
  <si>
    <t xml:space="preserve">SMEs that experienced cyberattacks</t>
  </si>
  <si>
    <t xml:space="preserve">40%</t>
  </si>
  <si>
    <t xml:space="preserve">NITA-U study (via Nile Post)</t>
  </si>
  <si>
    <t xml:space="preserve">Fraudulently swapped SIM cards used to steal from banks &amp; mobile money</t>
  </si>
  <si>
    <t xml:space="preserve">519</t>
  </si>
  <si>
    <t xml:space="preserve">Serianu report (citing Uganda Police)</t>
  </si>
  <si>
    <t xml:space="preserve">About this dataset</t>
  </si>
  <si>
    <t xml:space="preserve">Compiled</t>
  </si>
  <si>
    <t xml:space="preserve">15 September 2026, from public media reports, company statements, police/INTERPOL figures and regulator findings.</t>
  </si>
  <si>
    <t xml:space="preserve">Scope</t>
  </si>
  <si>
    <t xml:space="preserve">Publicly reported cyber incidents where a Ugandan organisation (or its systems) was the victim, 2011–2026. Scam call centres targeting people abroad and purely physical thefts are excluded.</t>
  </si>
  <si>
    <t xml:space="preserve">Sector of the main victim organisation. Mobile money is classed as Financial Services (it is regulated as a payment service), with Telecommunications listed under 'Other Sectors Affected'. Use the Sub-sector column to split it out if you prefer.</t>
  </si>
  <si>
    <t xml:space="preserve">Acknowledged by the victim, a regulator, court, police or INTERPOL.</t>
  </si>
  <si>
    <t xml:space="preserve">Covered by credible media but not formally confirmed, or based on anonymous sources / attacker claims.</t>
  </si>
  <si>
    <t xml:space="preserve">Early-stage allegations from an ongoing investigation.</t>
  </si>
  <si>
    <t xml:space="preserve">Media called it a cyber attack but the organisations gave a different cause.</t>
  </si>
  <si>
    <t xml:space="preserve">Loss figures</t>
  </si>
  <si>
    <t xml:space="preserve">'Reported Loss' is the best available published figure; many incidents have no disclosed amount, so sector loss totals understate reality. USD is only filled where a source gave it.</t>
  </si>
  <si>
    <t xml:space="preserve">Main limitation</t>
  </si>
  <si>
    <t xml:space="preserve">This is a list of publicised incidents, not a complete census. Ugandan banks have historically kept incidents quiet to protect their reputation, and the police recorded 474 cybercrime cases in 2024 alone, so the true count is far higher. Treat the sector ranking as indicative.</t>
  </si>
  <si>
    <t xml:space="preserve">Adding incidents</t>
  </si>
  <si>
    <t xml:space="preserve">Add a new row at the bottom of the Incidents sheet (up to row 500). Pick Sector and Confidence from the dropdowns; the Sector Analysis sheet updates automatically.</t>
  </si>
  <si>
    <t xml:space="preserve">Items to double-check</t>
  </si>
  <si>
    <t xml:space="preserve">UG-007 (date approximate), UG-017 (anonymous sources), UG-021 and UG-022 (July 2026 events still under investigation).</t>
  </si>
</sst>
</file>

<file path=xl/styles.xml><?xml version="1.0" encoding="utf-8"?>
<styleSheet xmlns="http://schemas.openxmlformats.org/spreadsheetml/2006/main">
  <numFmts count="4">
    <numFmt numFmtId="164" formatCode="General"/>
    <numFmt numFmtId="165" formatCode="#,##0.00;\-#,##0.00;\-"/>
    <numFmt numFmtId="166" formatCode="0.0%"/>
    <numFmt numFmtId="167" formatCode="General"/>
  </numFmts>
  <fonts count="15">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b val="true"/>
      <sz val="14"/>
      <color rgb="FF1F3864"/>
      <name val="Arial"/>
      <family val="0"/>
      <charset val="1"/>
    </font>
    <font>
      <i val="true"/>
      <sz val="10"/>
      <color rgb="FF595959"/>
      <name val="Arial"/>
      <family val="0"/>
      <charset val="1"/>
    </font>
    <font>
      <b val="true"/>
      <sz val="10"/>
      <name val="Arial"/>
      <family val="0"/>
      <charset val="1"/>
    </font>
    <font>
      <b val="true"/>
      <sz val="11"/>
      <color rgb="FFC00000"/>
      <name val="Arial"/>
      <family val="0"/>
      <charset val="1"/>
    </font>
    <font>
      <b val="true"/>
      <sz val="12"/>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F2F5FA"/>
        <bgColor rgb="FFF9F9F9"/>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7" fontId="9" fillId="4" borderId="1" xfId="0" applyFont="true" applyBorder="true" applyAlignment="true" applyProtection="false">
      <alignment horizontal="center"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4B084"/>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0563C1"/>
          <bgColor rgb="FF000000"/>
        </patternFill>
      </fill>
    </dxf>
    <dxf>
      <fill>
        <patternFill>
          <bgColor rgb="FFC6EFCE"/>
        </patternFill>
      </fill>
    </dxf>
    <dxf>
      <fill>
        <patternFill>
          <bgColor rgb="FFFFEB9C"/>
        </patternFill>
      </fill>
    </dxf>
    <dxf>
      <fill>
        <patternFill>
          <bgColor rgb="FFF8CBAD"/>
        </patternFill>
      </fill>
    </dxf>
    <dxf>
      <fill>
        <patternFill>
          <bgColor rgb="FFF4B084"/>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9F9F9"/>
      <rgbColor rgb="FFF2F5F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99CCFF"/>
      <rgbColor rgb="FFF4B084"/>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Incidents by sector</a:t>
            </a:r>
          </a:p>
        </c:rich>
      </c:tx>
      <c:overlay val="0"/>
      <c:spPr>
        <a:noFill/>
        <a:ln w="0">
          <a:noFill/>
        </a:ln>
      </c:spPr>
    </c:title>
    <c:autoTitleDeleted val="0"/>
    <c:plotArea>
      <c:barChart>
        <c:barDir val="bar"/>
        <c:grouping val="clustered"/>
        <c:varyColors val="0"/>
        <c:ser>
          <c:idx val="0"/>
          <c:order val="0"/>
          <c:tx>
            <c:strRef>
              <c:f>'Sector Analysis'!B8</c:f>
              <c:strCache>
                <c:ptCount val="1"/>
                <c:pt idx="0">
                  <c:v>Incidents</c:v>
                </c:pt>
              </c:strCache>
            </c:strRef>
          </c:tx>
          <c:spPr>
            <a:solidFill>
              <a:srgbClr val="1f3864"/>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'Sector Analysis'!$A$9:$A$13</c:f>
              <c:strCache>
                <c:ptCount val="5"/>
                <c:pt idx="0">
                  <c:v>Financial Services</c:v>
                </c:pt>
                <c:pt idx="1">
                  <c:v>Government &amp; Public Sector</c:v>
                </c:pt>
                <c:pt idx="2">
                  <c:v>Telecommunications</c:v>
                </c:pt>
                <c:pt idx="3">
                  <c:v>Education</c:v>
                </c:pt>
                <c:pt idx="4">
                  <c:v>Energy &amp; Utilities</c:v>
                </c:pt>
              </c:strCache>
            </c:strRef>
          </c:cat>
          <c:val>
            <c:numRef>
              <c:f>'Sector Analysis'!$B$9:$B$13</c:f>
              <c:numCache>
                <c:formatCode>General</c:formatCode>
                <c:ptCount val="5"/>
                <c:pt idx="0">
                  <c:v>10</c:v>
                </c:pt>
                <c:pt idx="1">
                  <c:v>7</c:v>
                </c:pt>
                <c:pt idx="2">
                  <c:v>2</c:v>
                </c:pt>
                <c:pt idx="3">
                  <c:v>2</c:v>
                </c:pt>
                <c:pt idx="4">
                  <c:v>1</c:v>
                </c:pt>
              </c:numCache>
            </c:numRef>
          </c:val>
        </c:ser>
        <c:gapWidth val="150"/>
        <c:overlap val="0"/>
        <c:axId val="50838250"/>
        <c:axId val="2390357"/>
      </c:barChart>
      <c:catAx>
        <c:axId val="508382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90357"/>
        <c:crosses val="autoZero"/>
        <c:auto val="1"/>
        <c:lblAlgn val="ctr"/>
        <c:lblOffset val="100"/>
        <c:noMultiLvlLbl val="0"/>
      </c:catAx>
      <c:valAx>
        <c:axId val="2390357"/>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Incidents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8382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Reported losses by sector (UGX bn)</a:t>
            </a:r>
          </a:p>
        </c:rich>
      </c:tx>
      <c:overlay val="0"/>
      <c:spPr>
        <a:noFill/>
        <a:ln w="0">
          <a:noFill/>
        </a:ln>
      </c:spPr>
    </c:title>
    <c:autoTitleDeleted val="0"/>
    <c:plotArea>
      <c:barChart>
        <c:barDir val="bar"/>
        <c:grouping val="clustered"/>
        <c:varyColors val="0"/>
        <c:ser>
          <c:idx val="0"/>
          <c:order val="0"/>
          <c:tx>
            <c:strRef>
              <c:f>'Sector Analysis'!F8</c:f>
              <c:strCache>
                <c:ptCount val="1"/>
                <c:pt idx="0">
                  <c:v>Reported Loss (UGX bn)</c:v>
                </c:pt>
              </c:strCache>
            </c:strRef>
          </c:tx>
          <c:spPr>
            <a:solidFill>
              <a:srgbClr val="c00000"/>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'Sector Analysis'!$A$9:$A$13</c:f>
              <c:strCache>
                <c:ptCount val="5"/>
                <c:pt idx="0">
                  <c:v>Financial Services</c:v>
                </c:pt>
                <c:pt idx="1">
                  <c:v>Government &amp; Public Sector</c:v>
                </c:pt>
                <c:pt idx="2">
                  <c:v>Telecommunications</c:v>
                </c:pt>
                <c:pt idx="3">
                  <c:v>Education</c:v>
                </c:pt>
                <c:pt idx="4">
                  <c:v>Energy &amp; Utilities</c:v>
                </c:pt>
              </c:strCache>
            </c:strRef>
          </c:cat>
          <c:val>
            <c:numRef>
              <c:f>'Sector Analysis'!$F$9:$F$13</c:f>
              <c:numCache>
                <c:formatCode>#,##0.00;\-#,##0.00;\-</c:formatCode>
                <c:ptCount val="5"/>
                <c:pt idx="0">
                  <c:v>85.491</c:v>
                </c:pt>
                <c:pt idx="1">
                  <c:v>2</c:v>
                </c:pt>
                <c:pt idx="2">
                  <c:v>0</c:v>
                </c:pt>
                <c:pt idx="3">
                  <c:v>0</c:v>
                </c:pt>
                <c:pt idx="4">
                  <c:v>0</c:v>
                </c:pt>
              </c:numCache>
            </c:numRef>
          </c:val>
        </c:ser>
        <c:gapWidth val="150"/>
        <c:overlap val="0"/>
        <c:axId val="24083789"/>
        <c:axId val="10883208"/>
      </c:barChart>
      <c:catAx>
        <c:axId val="240837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883208"/>
        <c:crosses val="autoZero"/>
        <c:auto val="1"/>
        <c:lblAlgn val="ctr"/>
        <c:lblOffset val="100"/>
        <c:noMultiLvlLbl val="0"/>
      </c:catAx>
      <c:valAx>
        <c:axId val="10883208"/>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837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256320</xdr:colOff>
      <xdr:row>14</xdr:row>
      <xdr:rowOff>174240</xdr:rowOff>
    </xdr:to>
    <xdr:graphicFrame>
      <xdr:nvGraphicFramePr>
        <xdr:cNvPr id="0" name="Chart 1"/>
        <xdr:cNvGraphicFramePr/>
      </xdr:nvGraphicFramePr>
      <xdr:xfrm>
        <a:off x="11466360" y="3808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18</xdr:row>
      <xdr:rowOff>160560</xdr:rowOff>
    </xdr:from>
    <xdr:to>
      <xdr:col>18</xdr:col>
      <xdr:colOff>256320</xdr:colOff>
      <xdr:row>32</xdr:row>
      <xdr:rowOff>80640</xdr:rowOff>
    </xdr:to>
    <xdr:graphicFrame>
      <xdr:nvGraphicFramePr>
        <xdr:cNvPr id="1" name="Chart 2"/>
        <xdr:cNvGraphicFramePr/>
      </xdr:nvGraphicFramePr>
      <xdr:xfrm>
        <a:off x="11466360" y="382896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cgap.org/blog/fraud-in-uganda-how-millions-were-lost-to-internal-collusion" TargetMode="External"/><Relationship Id="rId2" Type="http://schemas.openxmlformats.org/officeDocument/2006/relationships/hyperlink" Target="https://www.independent.co.ug/ugly-face-hacking/" TargetMode="External"/><Relationship Id="rId3" Type="http://schemas.openxmlformats.org/officeDocument/2006/relationships/hyperlink" Target="https://www.nbcnews.com/news/world/activists-hack-uganda-government-website-over-gay-rights-flna946822" TargetMode="External"/><Relationship Id="rId4" Type="http://schemas.openxmlformats.org/officeDocument/2006/relationships/hyperlink" Target="https://pctechmag.com/2013/05/over-40-uganda-government-websites-hacked-by-islamic-ghosts-team/" TargetMode="External"/><Relationship Id="rId5" Type="http://schemas.openxmlformats.org/officeDocument/2006/relationships/hyperlink" Target="https://pctechmag.com/2014/06/makerere-university-hacker-who-was-altering-student-results-arrested-video/" TargetMode="External"/><Relationship Id="rId6" Type="http://schemas.openxmlformats.org/officeDocument/2006/relationships/hyperlink" Target="https://nextbillion.net/news/former-mtn-uganda-staff-get-9-years-jail-for-mobile-money-fraud" TargetMode="External"/><Relationship Id="rId7" Type="http://schemas.openxmlformats.org/officeDocument/2006/relationships/hyperlink" Target="https://hackread.com/uganda-high-commission-website-hacked/" TargetMode="External"/><Relationship Id="rId8" Type="http://schemas.openxmlformats.org/officeDocument/2006/relationships/hyperlink" Target="https://www.monitor.co.ug/uganda/news/education/makerere-withholds-14-000-transcripts-over-fake-marks-1693578" TargetMode="External"/><Relationship Id="rId9" Type="http://schemas.openxmlformats.org/officeDocument/2006/relationships/hyperlink" Target="https://seclists.org/isn/2019/Jan/64" TargetMode="External"/><Relationship Id="rId10" Type="http://schemas.openxmlformats.org/officeDocument/2006/relationships/hyperlink" Target="https://www.serianu.com/downloads/UgandaCyberSecurityReport2020.pdf" TargetMode="External"/><Relationship Id="rId11" Type="http://schemas.openxmlformats.org/officeDocument/2006/relationships/hyperlink" Target="https://eagle.co.ug/2020/12/11/stanbic-bank-employee-arrested-over-recent-shs10-billion-electronic-scam" TargetMode="External"/><Relationship Id="rId12" Type="http://schemas.openxmlformats.org/officeDocument/2006/relationships/hyperlink" Target="https://techrafiki.com/uganda-government-websites-hacked-by-anonymous/" TargetMode="External"/><Relationship Id="rId13" Type="http://schemas.openxmlformats.org/officeDocument/2006/relationships/hyperlink" Target="https://observer.ug/news/hackers-plan-attacks-on-government-websites/" TargetMode="External"/><Relationship Id="rId14" Type="http://schemas.openxmlformats.org/officeDocument/2006/relationships/hyperlink" Target="https://www.thecitizen.co.tz/tanzania/business/how-hackers-stole-billions-from-airtel-money-in-uganda-4026838" TargetMode="External"/><Relationship Id="rId15" Type="http://schemas.openxmlformats.org/officeDocument/2006/relationships/hyperlink" Target="https://www.monitor.co.ug/uganda/business/markets/use-investor-data-was-exposed-to-hackers-investigation-finds--4306532" TargetMode="External"/><Relationship Id="rId16" Type="http://schemas.openxmlformats.org/officeDocument/2006/relationships/hyperlink" Target="https://www.theeastafrican.co.ke/tea/business-tech/how-hackers-used-betting-site-to-access-airtel-money-in-uganda-4027746" TargetMode="External"/><Relationship Id="rId17" Type="http://schemas.openxmlformats.org/officeDocument/2006/relationships/hyperlink" Target="https://www.monitor.co.ug/uganda/special-reports/video-global-cartel-hacks-commercial-banks-demands-1m-4291218" TargetMode="External"/><Relationship Id="rId18" Type="http://schemas.openxmlformats.org/officeDocument/2006/relationships/hyperlink" Target="https://www.monitor.co.ug/uganda/news/national/police-arrest-nine-govt-officials-over-bank-of-uganda-heist--4913192" TargetMode="External"/><Relationship Id="rId19" Type="http://schemas.openxmlformats.org/officeDocument/2006/relationships/hyperlink" Target="https://www.independent.co.ug/the-hackers-are-coming-for-africas-critical-infrastructure/" TargetMode="External"/><Relationship Id="rId20" Type="http://schemas.openxmlformats.org/officeDocument/2006/relationships/hyperlink" Target="https://www.stanbicbank.co.ug/uganda/personal/about-us/news/An-Important-Data-Incident-Update" TargetMode="External"/><Relationship Id="rId21" Type="http://schemas.openxmlformats.org/officeDocument/2006/relationships/hyperlink" Target="https://chimpreports.com/mtn-stanbic-outages-spark-questions/" TargetMode="External"/><Relationship Id="rId22" Type="http://schemas.openxmlformats.org/officeDocument/2006/relationships/hyperlink" Target="https://theafricanmirror.africa/news/uganda-blows-open-continents-largest-cyber-fraud-bust-over-1000-foreigners-held-over-telecom-and-utility-hacking/" TargetMode="External"/><Relationship Id="rId2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20"/>
    <col collapsed="false" customWidth="true" hidden="false" outlineLevel="0" max="4" min="4" style="0" width="38"/>
    <col collapsed="false" customWidth="true" hidden="false" outlineLevel="0" max="6" min="5" style="0" width="24"/>
    <col collapsed="false" customWidth="true" hidden="false" outlineLevel="0" max="7" min="7" style="0" width="22"/>
    <col collapsed="false" customWidth="true" hidden="false" outlineLevel="0" max="8" min="8" style="0" width="26"/>
    <col collapsed="false" customWidth="true" hidden="false" outlineLevel="0" max="9" min="9" style="0" width="45"/>
    <col collapsed="false" customWidth="true" hidden="false" outlineLevel="0" max="10" min="10" style="0" width="30"/>
    <col collapsed="false" customWidth="true" hidden="false" outlineLevel="0" max="12" min="11" style="0" width="13"/>
    <col collapsed="false" customWidth="true" hidden="false" outlineLevel="0" max="13" min="13" style="0" width="32"/>
    <col collapsed="false" customWidth="true" hidden="false" outlineLevel="0" max="14" min="14" style="0" width="36"/>
    <col collapsed="false" customWidth="true" hidden="false" outlineLevel="0" max="15" min="15" style="0" width="12"/>
    <col collapsed="false" customWidth="true" hidden="false" outlineLevel="0" max="16" min="16" style="0" width="30"/>
    <col collapsed="false" customWidth="true" hidden="false" outlineLevel="0" max="18" min="17" style="0" width="4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46.25" hidden="false" customHeight="false" outlineLevel="0" collapsed="false">
      <c r="A2" s="2" t="s">
        <v>18</v>
      </c>
      <c r="B2" s="3" t="n">
        <v>2011</v>
      </c>
      <c r="C2" s="2" t="s">
        <v>19</v>
      </c>
      <c r="D2" s="2" t="s">
        <v>20</v>
      </c>
      <c r="E2" s="2" t="s">
        <v>21</v>
      </c>
      <c r="F2" s="2" t="s">
        <v>22</v>
      </c>
      <c r="G2" s="2" t="s">
        <v>23</v>
      </c>
      <c r="H2" s="2" t="s">
        <v>24</v>
      </c>
      <c r="I2" s="2" t="s">
        <v>25</v>
      </c>
      <c r="J2" s="2" t="s">
        <v>26</v>
      </c>
      <c r="K2" s="4" t="n">
        <v>10</v>
      </c>
      <c r="L2" s="4" t="n">
        <v>3.4</v>
      </c>
      <c r="M2" s="2" t="s">
        <v>27</v>
      </c>
      <c r="N2" s="2" t="s">
        <v>28</v>
      </c>
      <c r="O2" s="2" t="s">
        <v>29</v>
      </c>
      <c r="P2" s="2" t="s">
        <v>30</v>
      </c>
      <c r="Q2" s="5" t="s">
        <v>31</v>
      </c>
      <c r="R2" s="2" t="s">
        <v>32</v>
      </c>
    </row>
    <row r="3" customFormat="false" ht="23.85" hidden="false" customHeight="false" outlineLevel="0" collapsed="false">
      <c r="A3" s="6" t="s">
        <v>33</v>
      </c>
      <c r="B3" s="7" t="n">
        <v>2012</v>
      </c>
      <c r="C3" s="6" t="s">
        <v>34</v>
      </c>
      <c r="D3" s="6" t="s">
        <v>35</v>
      </c>
      <c r="E3" s="6" t="s">
        <v>36</v>
      </c>
      <c r="F3" s="6" t="s">
        <v>37</v>
      </c>
      <c r="G3" s="6"/>
      <c r="H3" s="6" t="s">
        <v>38</v>
      </c>
      <c r="I3" s="6" t="s">
        <v>39</v>
      </c>
      <c r="J3" s="6" t="s">
        <v>40</v>
      </c>
      <c r="K3" s="8" t="n">
        <v>2</v>
      </c>
      <c r="L3" s="8"/>
      <c r="M3" s="6" t="s">
        <v>41</v>
      </c>
      <c r="N3" s="6" t="s">
        <v>42</v>
      </c>
      <c r="O3" s="6" t="s">
        <v>29</v>
      </c>
      <c r="P3" s="6" t="s">
        <v>43</v>
      </c>
      <c r="Q3" s="9" t="s">
        <v>44</v>
      </c>
      <c r="R3" s="6" t="s">
        <v>45</v>
      </c>
    </row>
    <row r="4" customFormat="false" ht="35.05" hidden="false" customHeight="false" outlineLevel="0" collapsed="false">
      <c r="A4" s="2" t="s">
        <v>46</v>
      </c>
      <c r="B4" s="3" t="n">
        <v>2012</v>
      </c>
      <c r="C4" s="2" t="s">
        <v>47</v>
      </c>
      <c r="D4" s="2" t="s">
        <v>48</v>
      </c>
      <c r="E4" s="2" t="s">
        <v>36</v>
      </c>
      <c r="F4" s="2" t="s">
        <v>49</v>
      </c>
      <c r="G4" s="2" t="s">
        <v>50</v>
      </c>
      <c r="H4" s="2" t="s">
        <v>51</v>
      </c>
      <c r="I4" s="2" t="s">
        <v>52</v>
      </c>
      <c r="J4" s="2" t="s">
        <v>53</v>
      </c>
      <c r="K4" s="4"/>
      <c r="L4" s="4"/>
      <c r="M4" s="2" t="s">
        <v>54</v>
      </c>
      <c r="N4" s="2" t="s">
        <v>55</v>
      </c>
      <c r="O4" s="2" t="s">
        <v>56</v>
      </c>
      <c r="P4" s="2" t="s">
        <v>57</v>
      </c>
      <c r="Q4" s="5" t="s">
        <v>58</v>
      </c>
      <c r="R4" s="2" t="s">
        <v>59</v>
      </c>
    </row>
    <row r="5" customFormat="false" ht="46.25" hidden="false" customHeight="false" outlineLevel="0" collapsed="false">
      <c r="A5" s="6" t="s">
        <v>60</v>
      </c>
      <c r="B5" s="7" t="n">
        <v>2013</v>
      </c>
      <c r="C5" s="6" t="s">
        <v>61</v>
      </c>
      <c r="D5" s="6" t="s">
        <v>62</v>
      </c>
      <c r="E5" s="6" t="s">
        <v>36</v>
      </c>
      <c r="F5" s="6" t="s">
        <v>63</v>
      </c>
      <c r="G5" s="6" t="s">
        <v>64</v>
      </c>
      <c r="H5" s="6" t="s">
        <v>51</v>
      </c>
      <c r="I5" s="6" t="s">
        <v>65</v>
      </c>
      <c r="J5" s="6" t="s">
        <v>66</v>
      </c>
      <c r="K5" s="8"/>
      <c r="L5" s="8"/>
      <c r="M5" s="6" t="s">
        <v>67</v>
      </c>
      <c r="N5" s="6" t="s">
        <v>68</v>
      </c>
      <c r="O5" s="6" t="s">
        <v>56</v>
      </c>
      <c r="P5" s="6" t="s">
        <v>69</v>
      </c>
      <c r="Q5" s="9" t="s">
        <v>70</v>
      </c>
      <c r="R5" s="6" t="s">
        <v>71</v>
      </c>
    </row>
    <row r="6" customFormat="false" ht="23.85" hidden="false" customHeight="false" outlineLevel="0" collapsed="false">
      <c r="A6" s="2" t="s">
        <v>72</v>
      </c>
      <c r="B6" s="3" t="n">
        <v>2014</v>
      </c>
      <c r="C6" s="2" t="s">
        <v>73</v>
      </c>
      <c r="D6" s="2" t="s">
        <v>74</v>
      </c>
      <c r="E6" s="2" t="s">
        <v>75</v>
      </c>
      <c r="F6" s="2" t="s">
        <v>76</v>
      </c>
      <c r="G6" s="2"/>
      <c r="H6" s="2" t="s">
        <v>77</v>
      </c>
      <c r="I6" s="2" t="s">
        <v>78</v>
      </c>
      <c r="J6" s="2" t="s">
        <v>79</v>
      </c>
      <c r="K6" s="4"/>
      <c r="L6" s="4"/>
      <c r="M6" s="2" t="s">
        <v>80</v>
      </c>
      <c r="N6" s="2" t="s">
        <v>81</v>
      </c>
      <c r="O6" s="2" t="s">
        <v>56</v>
      </c>
      <c r="P6" s="2" t="s">
        <v>82</v>
      </c>
      <c r="Q6" s="5" t="s">
        <v>83</v>
      </c>
      <c r="R6" s="2"/>
    </row>
    <row r="7" customFormat="false" ht="23.85" hidden="false" customHeight="false" outlineLevel="0" collapsed="false">
      <c r="A7" s="6" t="s">
        <v>84</v>
      </c>
      <c r="B7" s="7" t="n">
        <v>2014</v>
      </c>
      <c r="C7" s="6" t="s">
        <v>85</v>
      </c>
      <c r="D7" s="6" t="s">
        <v>20</v>
      </c>
      <c r="E7" s="6" t="s">
        <v>21</v>
      </c>
      <c r="F7" s="6" t="s">
        <v>22</v>
      </c>
      <c r="G7" s="6" t="s">
        <v>23</v>
      </c>
      <c r="H7" s="6" t="s">
        <v>24</v>
      </c>
      <c r="I7" s="6" t="s">
        <v>86</v>
      </c>
      <c r="J7" s="6" t="s">
        <v>87</v>
      </c>
      <c r="K7" s="8" t="n">
        <v>3.15</v>
      </c>
      <c r="L7" s="8"/>
      <c r="M7" s="6" t="s">
        <v>88</v>
      </c>
      <c r="N7" s="6" t="s">
        <v>89</v>
      </c>
      <c r="O7" s="6" t="s">
        <v>29</v>
      </c>
      <c r="P7" s="6" t="s">
        <v>90</v>
      </c>
      <c r="Q7" s="9" t="s">
        <v>91</v>
      </c>
      <c r="R7" s="6"/>
    </row>
    <row r="8" customFormat="false" ht="23.85" hidden="false" customHeight="false" outlineLevel="0" collapsed="false">
      <c r="A8" s="2" t="s">
        <v>92</v>
      </c>
      <c r="B8" s="3" t="n">
        <v>2016</v>
      </c>
      <c r="C8" s="2" t="s">
        <v>93</v>
      </c>
      <c r="D8" s="2" t="s">
        <v>94</v>
      </c>
      <c r="E8" s="2" t="s">
        <v>36</v>
      </c>
      <c r="F8" s="2" t="s">
        <v>49</v>
      </c>
      <c r="G8" s="2"/>
      <c r="H8" s="2" t="s">
        <v>51</v>
      </c>
      <c r="I8" s="2" t="s">
        <v>95</v>
      </c>
      <c r="J8" s="2" t="s">
        <v>96</v>
      </c>
      <c r="K8" s="4"/>
      <c r="L8" s="4"/>
      <c r="M8" s="2" t="s">
        <v>67</v>
      </c>
      <c r="N8" s="2" t="s">
        <v>55</v>
      </c>
      <c r="O8" s="2" t="s">
        <v>56</v>
      </c>
      <c r="P8" s="2" t="s">
        <v>97</v>
      </c>
      <c r="Q8" s="5" t="s">
        <v>98</v>
      </c>
      <c r="R8" s="2" t="s">
        <v>99</v>
      </c>
    </row>
    <row r="9" customFormat="false" ht="23.85" hidden="false" customHeight="false" outlineLevel="0" collapsed="false">
      <c r="A9" s="6" t="s">
        <v>100</v>
      </c>
      <c r="B9" s="7" t="n">
        <v>2017</v>
      </c>
      <c r="C9" s="6" t="s">
        <v>101</v>
      </c>
      <c r="D9" s="6" t="s">
        <v>102</v>
      </c>
      <c r="E9" s="6" t="s">
        <v>75</v>
      </c>
      <c r="F9" s="6" t="s">
        <v>76</v>
      </c>
      <c r="G9" s="6"/>
      <c r="H9" s="6" t="s">
        <v>77</v>
      </c>
      <c r="I9" s="6" t="s">
        <v>103</v>
      </c>
      <c r="J9" s="6" t="s">
        <v>104</v>
      </c>
      <c r="K9" s="8"/>
      <c r="L9" s="8"/>
      <c r="M9" s="6" t="s">
        <v>105</v>
      </c>
      <c r="N9" s="6" t="s">
        <v>106</v>
      </c>
      <c r="O9" s="6" t="s">
        <v>29</v>
      </c>
      <c r="P9" s="6" t="s">
        <v>107</v>
      </c>
      <c r="Q9" s="9" t="s">
        <v>108</v>
      </c>
      <c r="R9" s="6"/>
    </row>
    <row r="10" customFormat="false" ht="35.05" hidden="false" customHeight="false" outlineLevel="0" collapsed="false">
      <c r="A10" s="2" t="s">
        <v>109</v>
      </c>
      <c r="B10" s="3" t="n">
        <v>2019</v>
      </c>
      <c r="C10" s="2" t="s">
        <v>110</v>
      </c>
      <c r="D10" s="2" t="s">
        <v>111</v>
      </c>
      <c r="E10" s="2" t="s">
        <v>36</v>
      </c>
      <c r="F10" s="2" t="s">
        <v>112</v>
      </c>
      <c r="G10" s="2"/>
      <c r="H10" s="2" t="s">
        <v>113</v>
      </c>
      <c r="I10" s="2" t="s">
        <v>114</v>
      </c>
      <c r="J10" s="2" t="s">
        <v>115</v>
      </c>
      <c r="K10" s="4"/>
      <c r="L10" s="4"/>
      <c r="M10" s="2" t="s">
        <v>116</v>
      </c>
      <c r="N10" s="2" t="s">
        <v>117</v>
      </c>
      <c r="O10" s="2" t="s">
        <v>56</v>
      </c>
      <c r="P10" s="2" t="s">
        <v>118</v>
      </c>
      <c r="Q10" s="5" t="s">
        <v>119</v>
      </c>
      <c r="R10" s="2"/>
    </row>
    <row r="11" customFormat="false" ht="35.05" hidden="false" customHeight="false" outlineLevel="0" collapsed="false">
      <c r="A11" s="6" t="s">
        <v>120</v>
      </c>
      <c r="B11" s="7" t="n">
        <v>2019</v>
      </c>
      <c r="C11" s="6" t="s">
        <v>121</v>
      </c>
      <c r="D11" s="6" t="s">
        <v>122</v>
      </c>
      <c r="E11" s="6" t="s">
        <v>21</v>
      </c>
      <c r="F11" s="6" t="s">
        <v>123</v>
      </c>
      <c r="G11" s="6" t="s">
        <v>23</v>
      </c>
      <c r="H11" s="6" t="s">
        <v>124</v>
      </c>
      <c r="I11" s="6" t="s">
        <v>125</v>
      </c>
      <c r="J11" s="6" t="s">
        <v>126</v>
      </c>
      <c r="K11" s="8"/>
      <c r="L11" s="8"/>
      <c r="M11" s="6" t="s">
        <v>127</v>
      </c>
      <c r="N11" s="6" t="s">
        <v>128</v>
      </c>
      <c r="O11" s="6" t="s">
        <v>56</v>
      </c>
      <c r="P11" s="6" t="s">
        <v>129</v>
      </c>
      <c r="Q11" s="9" t="s">
        <v>130</v>
      </c>
      <c r="R11" s="6" t="s">
        <v>131</v>
      </c>
    </row>
    <row r="12" customFormat="false" ht="35.05" hidden="false" customHeight="false" outlineLevel="0" collapsed="false">
      <c r="A12" s="2" t="s">
        <v>132</v>
      </c>
      <c r="B12" s="3" t="n">
        <v>2020</v>
      </c>
      <c r="C12" s="2" t="s">
        <v>133</v>
      </c>
      <c r="D12" s="2" t="s">
        <v>134</v>
      </c>
      <c r="E12" s="2" t="s">
        <v>21</v>
      </c>
      <c r="F12" s="2" t="s">
        <v>135</v>
      </c>
      <c r="G12" s="2" t="s">
        <v>23</v>
      </c>
      <c r="H12" s="2" t="s">
        <v>38</v>
      </c>
      <c r="I12" s="2" t="s">
        <v>136</v>
      </c>
      <c r="J12" s="2" t="s">
        <v>137</v>
      </c>
      <c r="K12" s="4" t="n">
        <v>10.441</v>
      </c>
      <c r="L12" s="4"/>
      <c r="M12" s="2" t="s">
        <v>138</v>
      </c>
      <c r="N12" s="2" t="s">
        <v>139</v>
      </c>
      <c r="O12" s="2" t="s">
        <v>29</v>
      </c>
      <c r="P12" s="2" t="s">
        <v>140</v>
      </c>
      <c r="Q12" s="5" t="s">
        <v>141</v>
      </c>
      <c r="R12" s="2" t="s">
        <v>142</v>
      </c>
    </row>
    <row r="13" customFormat="false" ht="23.85" hidden="false" customHeight="false" outlineLevel="0" collapsed="false">
      <c r="A13" s="6" t="s">
        <v>143</v>
      </c>
      <c r="B13" s="7" t="n">
        <v>2021</v>
      </c>
      <c r="C13" s="6" t="s">
        <v>144</v>
      </c>
      <c r="D13" s="6" t="s">
        <v>145</v>
      </c>
      <c r="E13" s="6" t="s">
        <v>36</v>
      </c>
      <c r="F13" s="6" t="s">
        <v>49</v>
      </c>
      <c r="G13" s="6" t="s">
        <v>146</v>
      </c>
      <c r="H13" s="6" t="s">
        <v>51</v>
      </c>
      <c r="I13" s="6" t="s">
        <v>147</v>
      </c>
      <c r="J13" s="6" t="s">
        <v>148</v>
      </c>
      <c r="K13" s="8"/>
      <c r="L13" s="8"/>
      <c r="M13" s="6" t="s">
        <v>67</v>
      </c>
      <c r="N13" s="6"/>
      <c r="O13" s="6" t="s">
        <v>56</v>
      </c>
      <c r="P13" s="6" t="s">
        <v>149</v>
      </c>
      <c r="Q13" s="9" t="s">
        <v>150</v>
      </c>
      <c r="R13" s="6" t="s">
        <v>151</v>
      </c>
    </row>
    <row r="14" customFormat="false" ht="23.85" hidden="false" customHeight="false" outlineLevel="0" collapsed="false">
      <c r="A14" s="2" t="s">
        <v>152</v>
      </c>
      <c r="B14" s="3" t="n">
        <v>2021</v>
      </c>
      <c r="C14" s="2" t="s">
        <v>153</v>
      </c>
      <c r="D14" s="2" t="s">
        <v>154</v>
      </c>
      <c r="E14" s="2" t="s">
        <v>36</v>
      </c>
      <c r="F14" s="2" t="s">
        <v>155</v>
      </c>
      <c r="G14" s="2"/>
      <c r="H14" s="2" t="s">
        <v>51</v>
      </c>
      <c r="I14" s="2" t="s">
        <v>156</v>
      </c>
      <c r="J14" s="2" t="s">
        <v>157</v>
      </c>
      <c r="K14" s="4"/>
      <c r="L14" s="4"/>
      <c r="M14" s="2" t="s">
        <v>158</v>
      </c>
      <c r="N14" s="2"/>
      <c r="O14" s="2" t="s">
        <v>56</v>
      </c>
      <c r="P14" s="2" t="s">
        <v>159</v>
      </c>
      <c r="Q14" s="5" t="s">
        <v>160</v>
      </c>
      <c r="R14" s="2" t="s">
        <v>161</v>
      </c>
    </row>
    <row r="15" customFormat="false" ht="23.85" hidden="false" customHeight="false" outlineLevel="0" collapsed="false">
      <c r="A15" s="6" t="s">
        <v>162</v>
      </c>
      <c r="B15" s="7" t="n">
        <v>2022</v>
      </c>
      <c r="C15" s="6" t="s">
        <v>163</v>
      </c>
      <c r="D15" s="6" t="s">
        <v>164</v>
      </c>
      <c r="E15" s="6" t="s">
        <v>21</v>
      </c>
      <c r="F15" s="6" t="s">
        <v>165</v>
      </c>
      <c r="G15" s="6"/>
      <c r="H15" s="6" t="s">
        <v>38</v>
      </c>
      <c r="I15" s="6" t="s">
        <v>166</v>
      </c>
      <c r="J15" s="6" t="s">
        <v>167</v>
      </c>
      <c r="K15" s="8" t="n">
        <v>0.4</v>
      </c>
      <c r="L15" s="8"/>
      <c r="M15" s="6" t="s">
        <v>168</v>
      </c>
      <c r="N15" s="6"/>
      <c r="O15" s="6" t="s">
        <v>56</v>
      </c>
      <c r="P15" s="6" t="s">
        <v>169</v>
      </c>
      <c r="Q15" s="9" t="s">
        <v>170</v>
      </c>
      <c r="R15" s="6"/>
    </row>
    <row r="16" customFormat="false" ht="23.85" hidden="false" customHeight="false" outlineLevel="0" collapsed="false">
      <c r="A16" s="2" t="s">
        <v>171</v>
      </c>
      <c r="B16" s="3" t="n">
        <v>2022</v>
      </c>
      <c r="C16" s="2" t="s">
        <v>172</v>
      </c>
      <c r="D16" s="2" t="s">
        <v>173</v>
      </c>
      <c r="E16" s="2" t="s">
        <v>21</v>
      </c>
      <c r="F16" s="2" t="s">
        <v>174</v>
      </c>
      <c r="G16" s="2"/>
      <c r="H16" s="2" t="s">
        <v>113</v>
      </c>
      <c r="I16" s="2" t="s">
        <v>175</v>
      </c>
      <c r="J16" s="2" t="s">
        <v>176</v>
      </c>
      <c r="K16" s="4"/>
      <c r="L16" s="4"/>
      <c r="M16" s="2" t="s">
        <v>177</v>
      </c>
      <c r="N16" s="2" t="s">
        <v>178</v>
      </c>
      <c r="O16" s="2" t="s">
        <v>29</v>
      </c>
      <c r="P16" s="2" t="s">
        <v>179</v>
      </c>
      <c r="Q16" s="5" t="s">
        <v>180</v>
      </c>
      <c r="R16" s="2"/>
    </row>
    <row r="17" customFormat="false" ht="35.05" hidden="false" customHeight="false" outlineLevel="0" collapsed="false">
      <c r="A17" s="6" t="s">
        <v>181</v>
      </c>
      <c r="B17" s="7" t="n">
        <v>2022</v>
      </c>
      <c r="C17" s="6" t="s">
        <v>182</v>
      </c>
      <c r="D17" s="6" t="s">
        <v>183</v>
      </c>
      <c r="E17" s="6" t="s">
        <v>21</v>
      </c>
      <c r="F17" s="6" t="s">
        <v>22</v>
      </c>
      <c r="G17" s="6" t="s">
        <v>184</v>
      </c>
      <c r="H17" s="6" t="s">
        <v>38</v>
      </c>
      <c r="I17" s="6" t="s">
        <v>185</v>
      </c>
      <c r="J17" s="6" t="s">
        <v>186</v>
      </c>
      <c r="K17" s="8" t="n">
        <v>8</v>
      </c>
      <c r="L17" s="8" t="n">
        <v>2.1</v>
      </c>
      <c r="M17" s="6" t="s">
        <v>187</v>
      </c>
      <c r="N17" s="6" t="s">
        <v>188</v>
      </c>
      <c r="O17" s="6" t="s">
        <v>56</v>
      </c>
      <c r="P17" s="6" t="s">
        <v>189</v>
      </c>
      <c r="Q17" s="9" t="s">
        <v>190</v>
      </c>
      <c r="R17" s="6" t="s">
        <v>191</v>
      </c>
    </row>
    <row r="18" customFormat="false" ht="23.85" hidden="false" customHeight="false" outlineLevel="0" collapsed="false">
      <c r="A18" s="2" t="s">
        <v>192</v>
      </c>
      <c r="B18" s="3" t="n">
        <v>2023</v>
      </c>
      <c r="C18" s="2" t="s">
        <v>193</v>
      </c>
      <c r="D18" s="2" t="s">
        <v>194</v>
      </c>
      <c r="E18" s="2" t="s">
        <v>21</v>
      </c>
      <c r="F18" s="2" t="s">
        <v>195</v>
      </c>
      <c r="G18" s="2"/>
      <c r="H18" s="2" t="s">
        <v>196</v>
      </c>
      <c r="I18" s="2" t="s">
        <v>197</v>
      </c>
      <c r="J18" s="2" t="s">
        <v>198</v>
      </c>
      <c r="K18" s="4"/>
      <c r="L18" s="4"/>
      <c r="M18" s="2" t="s">
        <v>199</v>
      </c>
      <c r="N18" s="2" t="s">
        <v>200</v>
      </c>
      <c r="O18" s="2" t="s">
        <v>56</v>
      </c>
      <c r="P18" s="2" t="s">
        <v>201</v>
      </c>
      <c r="Q18" s="5" t="s">
        <v>202</v>
      </c>
      <c r="R18" s="2" t="s">
        <v>203</v>
      </c>
    </row>
    <row r="19" customFormat="false" ht="35.05" hidden="false" customHeight="false" outlineLevel="0" collapsed="false">
      <c r="A19" s="6" t="s">
        <v>204</v>
      </c>
      <c r="B19" s="7" t="n">
        <v>2024</v>
      </c>
      <c r="C19" s="6" t="s">
        <v>205</v>
      </c>
      <c r="D19" s="6" t="s">
        <v>206</v>
      </c>
      <c r="E19" s="6" t="s">
        <v>21</v>
      </c>
      <c r="F19" s="6" t="s">
        <v>207</v>
      </c>
      <c r="G19" s="6" t="s">
        <v>36</v>
      </c>
      <c r="H19" s="6" t="s">
        <v>38</v>
      </c>
      <c r="I19" s="6" t="s">
        <v>208</v>
      </c>
      <c r="J19" s="6" t="s">
        <v>209</v>
      </c>
      <c r="K19" s="8" t="n">
        <v>53.5</v>
      </c>
      <c r="L19" s="8" t="n">
        <v>14.73</v>
      </c>
      <c r="M19" s="6" t="s">
        <v>210</v>
      </c>
      <c r="N19" s="6" t="s">
        <v>211</v>
      </c>
      <c r="O19" s="6" t="s">
        <v>29</v>
      </c>
      <c r="P19" s="6" t="s">
        <v>212</v>
      </c>
      <c r="Q19" s="9" t="s">
        <v>213</v>
      </c>
      <c r="R19" s="6" t="s">
        <v>214</v>
      </c>
    </row>
    <row r="20" customFormat="false" ht="35.05" hidden="false" customHeight="false" outlineLevel="0" collapsed="false">
      <c r="A20" s="2" t="s">
        <v>215</v>
      </c>
      <c r="B20" s="3" t="n">
        <v>2025</v>
      </c>
      <c r="C20" s="2" t="s">
        <v>216</v>
      </c>
      <c r="D20" s="2" t="s">
        <v>217</v>
      </c>
      <c r="E20" s="2" t="s">
        <v>218</v>
      </c>
      <c r="F20" s="2" t="s">
        <v>219</v>
      </c>
      <c r="G20" s="2"/>
      <c r="H20" s="2" t="s">
        <v>196</v>
      </c>
      <c r="I20" s="2" t="s">
        <v>220</v>
      </c>
      <c r="J20" s="2" t="s">
        <v>221</v>
      </c>
      <c r="K20" s="4"/>
      <c r="L20" s="4"/>
      <c r="M20" s="2" t="s">
        <v>222</v>
      </c>
      <c r="N20" s="2" t="s">
        <v>223</v>
      </c>
      <c r="O20" s="2" t="s">
        <v>29</v>
      </c>
      <c r="P20" s="2" t="s">
        <v>224</v>
      </c>
      <c r="Q20" s="5" t="s">
        <v>225</v>
      </c>
      <c r="R20" s="2" t="s">
        <v>226</v>
      </c>
    </row>
    <row r="21" customFormat="false" ht="23.85" hidden="false" customHeight="false" outlineLevel="0" collapsed="false">
      <c r="A21" s="6" t="s">
        <v>227</v>
      </c>
      <c r="B21" s="7" t="n">
        <v>2026</v>
      </c>
      <c r="C21" s="6" t="s">
        <v>228</v>
      </c>
      <c r="D21" s="6" t="s">
        <v>229</v>
      </c>
      <c r="E21" s="6" t="s">
        <v>21</v>
      </c>
      <c r="F21" s="6" t="s">
        <v>195</v>
      </c>
      <c r="G21" s="6"/>
      <c r="H21" s="6" t="s">
        <v>113</v>
      </c>
      <c r="I21" s="6" t="s">
        <v>230</v>
      </c>
      <c r="J21" s="6" t="s">
        <v>231</v>
      </c>
      <c r="K21" s="8"/>
      <c r="L21" s="8"/>
      <c r="M21" s="6" t="s">
        <v>232</v>
      </c>
      <c r="N21" s="6" t="s">
        <v>233</v>
      </c>
      <c r="O21" s="6" t="s">
        <v>29</v>
      </c>
      <c r="P21" s="6" t="s">
        <v>234</v>
      </c>
      <c r="Q21" s="9" t="s">
        <v>235</v>
      </c>
      <c r="R21" s="6"/>
    </row>
    <row r="22" customFormat="false" ht="35.05" hidden="false" customHeight="false" outlineLevel="0" collapsed="false">
      <c r="A22" s="2" t="s">
        <v>236</v>
      </c>
      <c r="B22" s="3" t="n">
        <v>2026</v>
      </c>
      <c r="C22" s="2" t="s">
        <v>237</v>
      </c>
      <c r="D22" s="2" t="s">
        <v>238</v>
      </c>
      <c r="E22" s="2" t="s">
        <v>23</v>
      </c>
      <c r="F22" s="2" t="s">
        <v>239</v>
      </c>
      <c r="G22" s="2" t="s">
        <v>21</v>
      </c>
      <c r="H22" s="2" t="s">
        <v>240</v>
      </c>
      <c r="I22" s="2" t="s">
        <v>241</v>
      </c>
      <c r="J22" s="2" t="s">
        <v>242</v>
      </c>
      <c r="K22" s="4"/>
      <c r="L22" s="4"/>
      <c r="M22" s="2" t="s">
        <v>243</v>
      </c>
      <c r="N22" s="2" t="s">
        <v>244</v>
      </c>
      <c r="O22" s="2" t="s">
        <v>245</v>
      </c>
      <c r="P22" s="2" t="s">
        <v>246</v>
      </c>
      <c r="Q22" s="5" t="s">
        <v>247</v>
      </c>
      <c r="R22" s="2" t="s">
        <v>248</v>
      </c>
    </row>
    <row r="23" customFormat="false" ht="35.05" hidden="false" customHeight="false" outlineLevel="0" collapsed="false">
      <c r="A23" s="6" t="s">
        <v>249</v>
      </c>
      <c r="B23" s="7" t="n">
        <v>2026</v>
      </c>
      <c r="C23" s="6" t="s">
        <v>250</v>
      </c>
      <c r="D23" s="6" t="s">
        <v>251</v>
      </c>
      <c r="E23" s="6" t="s">
        <v>23</v>
      </c>
      <c r="F23" s="6" t="s">
        <v>252</v>
      </c>
      <c r="G23" s="6" t="s">
        <v>218</v>
      </c>
      <c r="H23" s="6" t="s">
        <v>38</v>
      </c>
      <c r="I23" s="6" t="s">
        <v>253</v>
      </c>
      <c r="J23" s="6" t="s">
        <v>254</v>
      </c>
      <c r="K23" s="8"/>
      <c r="L23" s="8"/>
      <c r="M23" s="6" t="s">
        <v>255</v>
      </c>
      <c r="N23" s="6" t="s">
        <v>256</v>
      </c>
      <c r="O23" s="6" t="s">
        <v>257</v>
      </c>
      <c r="P23" s="6" t="s">
        <v>258</v>
      </c>
      <c r="Q23" s="9" t="s">
        <v>259</v>
      </c>
      <c r="R23" s="6" t="s">
        <v>260</v>
      </c>
    </row>
  </sheetData>
  <autoFilter ref="A1:R23"/>
  <conditionalFormatting sqref="O2:O500">
    <cfRule type="expression" priority="2" aboveAverage="0" equalAverage="0" bottom="0" percent="0" rank="0" text="" dxfId="9">
      <formula>$O2="Confirmed"</formula>
    </cfRule>
    <cfRule type="expression" priority="3" aboveAverage="0" equalAverage="0" bottom="0" percent="0" rank="0" text="" dxfId="10">
      <formula>$O2="Reported"</formula>
    </cfRule>
    <cfRule type="expression" priority="4" aboveAverage="0" equalAverage="0" bottom="0" percent="0" rank="0" text="" dxfId="11">
      <formula>$O2="Alleged"</formula>
    </cfRule>
    <cfRule type="expression" priority="5" aboveAverage="0" equalAverage="0" bottom="0" percent="0" rank="0" text="" dxfId="12">
      <formula>$O2="Disputed"</formula>
    </cfRule>
  </conditionalFormatting>
  <dataValidations count="2">
    <dataValidation allowBlank="true" errorStyle="stop" operator="between" showDropDown="false" showErrorMessage="false" showInputMessage="false" sqref="E2:E500" type="list">
      <formula1>"Financial Services,Government &amp; Public Sector,Telecommunications,Education,Energy &amp; Utilities,Health,Media,Other"</formula1>
      <formula2>0</formula2>
    </dataValidation>
    <dataValidation allowBlank="true" errorStyle="stop" operator="between" showDropDown="false" showErrorMessage="false" showInputMessage="false" sqref="O2:O500" type="list">
      <formula1>"Confirmed,Reported,Alleged,Disputed"</formula1>
      <formula2>0</formula2>
    </dataValidation>
  </dataValidations>
  <hyperlinks>
    <hyperlink ref="Q2" r:id="rId1" display="https://www.cgap.org/blog/fraud-in-uganda-how-millions-were-lost-to-internal-collusion"/>
    <hyperlink ref="Q3" r:id="rId2" display="https://www.independent.co.ug/ugly-face-hacking/"/>
    <hyperlink ref="Q4" r:id="rId3" display="https://www.nbcnews.com/news/world/activists-hack-uganda-government-website-over-gay-rights-flna946822"/>
    <hyperlink ref="Q5" r:id="rId4" display="https://pctechmag.com/2013/05/over-40-uganda-government-websites-hacked-by-islamic-ghosts-team/"/>
    <hyperlink ref="Q6" r:id="rId5" display="https://pctechmag.com/2014/06/makerere-university-hacker-who-was-altering-student-results-arrested-video/"/>
    <hyperlink ref="Q7" r:id="rId6" display="https://nextbillion.net/news/former-mtn-uganda-staff-get-9-years-jail-for-mobile-money-fraud"/>
    <hyperlink ref="Q8" r:id="rId7" display="https://hackread.com/uganda-high-commission-website-hacked/"/>
    <hyperlink ref="Q9" r:id="rId8" display="https://www.monitor.co.ug/uganda/news/education/makerere-withholds-14-000-transcripts-over-fake-marks-1693578"/>
    <hyperlink ref="Q10" r:id="rId9" display="https://seclists.org/isn/2019/Jan/64"/>
    <hyperlink ref="Q11" r:id="rId10" display="https://www.serianu.com/downloads/UgandaCyberSecurityReport2020.pdf"/>
    <hyperlink ref="Q12" r:id="rId11" display="https://eagle.co.ug/2020/12/11/stanbic-bank-employee-arrested-over-recent-shs10-billion-electronic-scam"/>
    <hyperlink ref="Q13" r:id="rId12" display="https://techrafiki.com/uganda-government-websites-hacked-by-anonymous/"/>
    <hyperlink ref="Q14" r:id="rId13" display="https://observer.ug/news/hackers-plan-attacks-on-government-websites/"/>
    <hyperlink ref="Q15" r:id="rId14" display="https://www.thecitizen.co.tz/tanzania/business/how-hackers-stole-billions-from-airtel-money-in-uganda-4026838"/>
    <hyperlink ref="Q16" r:id="rId15" display="https://www.monitor.co.ug/uganda/business/markets/use-investor-data-was-exposed-to-hackers-investigation-finds--4306532"/>
    <hyperlink ref="Q17" r:id="rId16" display="https://www.theeastafrican.co.ke/tea/business-tech/how-hackers-used-betting-site-to-access-airtel-money-in-uganda-4027746"/>
    <hyperlink ref="Q18" r:id="rId17" display="https://www.monitor.co.ug/uganda/special-reports/video-global-cartel-hacks-commercial-banks-demands-1m-4291218"/>
    <hyperlink ref="Q19" r:id="rId18" display="https://www.monitor.co.ug/uganda/news/national/police-arrest-nine-govt-officials-over-bank-of-uganda-heist--4913192"/>
    <hyperlink ref="Q20" r:id="rId19" display="https://www.independent.co.ug/the-hackers-are-coming-for-africas-critical-infrastructure/"/>
    <hyperlink ref="Q21" r:id="rId20" display="https://www.stanbicbank.co.ug/uganda/personal/about-us/news/An-Important-Data-Incident-Update"/>
    <hyperlink ref="Q22" r:id="rId21" display="https://chimpreports.com/mtn-stanbic-outages-spark-questions/"/>
    <hyperlink ref="Q23" r:id="rId22" display="https://theafricanmirror.africa/news/uganda-blows-open-continents-largest-cyber-fraud-bust-over-1000-foreigners-held-over-telecom-and-utility-hack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4"/>
    <col collapsed="false" customWidth="true" hidden="false" outlineLevel="0" max="5" min="4" style="0" width="14"/>
    <col collapsed="false" customWidth="true" hidden="false" outlineLevel="0" max="7" min="6" style="0" width="16"/>
    <col collapsed="false" customWidth="true" hidden="false" outlineLevel="0" max="8" min="8" style="0" width="14"/>
  </cols>
  <sheetData>
    <row r="1" customFormat="false" ht="17.35" hidden="false" customHeight="false" outlineLevel="0" collapsed="false">
      <c r="A1" s="10" t="s">
        <v>261</v>
      </c>
    </row>
    <row r="2" customFormat="false" ht="15" hidden="false" customHeight="false" outlineLevel="0" collapsed="false">
      <c r="A2" s="11" t="s">
        <v>262</v>
      </c>
    </row>
    <row r="4" customFormat="false" ht="15" hidden="false" customHeight="false" outlineLevel="0" collapsed="false">
      <c r="A4" s="12" t="s">
        <v>263</v>
      </c>
      <c r="B4" s="13" t="str">
        <f aca="false">INDEX(A9:A16,MATCH(MAX(B9:B16),B9:B16,0))</f>
        <v>Financial Services</v>
      </c>
    </row>
    <row r="5" customFormat="false" ht="15" hidden="false" customHeight="false" outlineLevel="0" collapsed="false">
      <c r="A5" s="12" t="s">
        <v>264</v>
      </c>
      <c r="B5" s="14" t="n">
        <f aca="false">INDEX(C9:C16,MATCH(MAX(B9:B16),B9:B16,0))</f>
        <v>0.454545454545455</v>
      </c>
    </row>
    <row r="6" customFormat="false" ht="15" hidden="false" customHeight="false" outlineLevel="0" collapsed="false">
      <c r="A6" s="12" t="s">
        <v>265</v>
      </c>
      <c r="B6" s="14" t="n">
        <f aca="false">INDEX(G9:G16,MATCH(MAX(B9:B16),B9:B16,0))</f>
        <v>0.977140505880605</v>
      </c>
    </row>
    <row r="8" customFormat="false" ht="31.5" hidden="false" customHeight="true" outlineLevel="0" collapsed="false">
      <c r="A8" s="1" t="s">
        <v>266</v>
      </c>
      <c r="B8" s="1" t="s">
        <v>267</v>
      </c>
      <c r="C8" s="1" t="s">
        <v>268</v>
      </c>
      <c r="D8" s="1" t="s">
        <v>269</v>
      </c>
      <c r="E8" s="1" t="s">
        <v>270</v>
      </c>
      <c r="F8" s="1" t="s">
        <v>10</v>
      </c>
      <c r="G8" s="1" t="s">
        <v>271</v>
      </c>
      <c r="H8" s="1" t="s">
        <v>272</v>
      </c>
    </row>
    <row r="9" customFormat="false" ht="15" hidden="false" customHeight="false" outlineLevel="0" collapsed="false">
      <c r="A9" s="15" t="s">
        <v>21</v>
      </c>
      <c r="B9" s="16" t="n">
        <f aca="false">COUNTIF(Incidents!$E$2:$E$500,A9)</f>
        <v>10</v>
      </c>
      <c r="C9" s="17" t="n">
        <f aca="false">IF($B$17=0,0,B9/$B$17)</f>
        <v>0.454545454545455</v>
      </c>
      <c r="D9" s="16" t="n">
        <f aca="false">COUNTIFS(Incidents!$E$2:$E$500,A9,Incidents!$O$2:$O$500,"Confirmed")</f>
        <v>6</v>
      </c>
      <c r="E9" s="16" t="n">
        <f aca="false">COUNTIFS(Incidents!$E$2:$E$500,A9,Incidents!$B$2:$B$500,"&gt;=2021")</f>
        <v>6</v>
      </c>
      <c r="F9" s="18" t="n">
        <f aca="false">SUMIF(Incidents!$E$2:$E$500,A9,Incidents!$K$2:$K$500)</f>
        <v>85.491</v>
      </c>
      <c r="G9" s="17" t="n">
        <f aca="false">IF($F$17=0,0,F9/$F$17)</f>
        <v>0.977140505880605</v>
      </c>
      <c r="H9" s="16" t="n">
        <f aca="false">IF(B9=0,"-",RANK(B9,$B$9:$B$16))</f>
        <v>1</v>
      </c>
    </row>
    <row r="10" customFormat="false" ht="15" hidden="false" customHeight="false" outlineLevel="0" collapsed="false">
      <c r="A10" s="15" t="s">
        <v>36</v>
      </c>
      <c r="B10" s="16" t="n">
        <f aca="false">COUNTIF(Incidents!$E$2:$E$500,A10)</f>
        <v>7</v>
      </c>
      <c r="C10" s="17" t="n">
        <f aca="false">IF($B$17=0,0,B10/$B$17)</f>
        <v>0.318181818181818</v>
      </c>
      <c r="D10" s="16" t="n">
        <f aca="false">COUNTIFS(Incidents!$E$2:$E$500,A10,Incidents!$O$2:$O$500,"Confirmed")</f>
        <v>1</v>
      </c>
      <c r="E10" s="16" t="n">
        <f aca="false">COUNTIFS(Incidents!$E$2:$E$500,A10,Incidents!$B$2:$B$500,"&gt;=2021")</f>
        <v>2</v>
      </c>
      <c r="F10" s="18" t="n">
        <f aca="false">SUMIF(Incidents!$E$2:$E$500,A10,Incidents!$K$2:$K$500)</f>
        <v>2</v>
      </c>
      <c r="G10" s="17" t="n">
        <f aca="false">IF($F$17=0,0,F10/$F$17)</f>
        <v>0.0228594941193951</v>
      </c>
      <c r="H10" s="16" t="n">
        <f aca="false">IF(B10=0,"-",RANK(B10,$B$9:$B$16))</f>
        <v>2</v>
      </c>
    </row>
    <row r="11" customFormat="false" ht="15" hidden="false" customHeight="false" outlineLevel="0" collapsed="false">
      <c r="A11" s="15" t="s">
        <v>23</v>
      </c>
      <c r="B11" s="16" t="n">
        <f aca="false">COUNTIF(Incidents!$E$2:$E$500,A11)</f>
        <v>2</v>
      </c>
      <c r="C11" s="17" t="n">
        <f aca="false">IF($B$17=0,0,B11/$B$17)</f>
        <v>0.0909090909090909</v>
      </c>
      <c r="D11" s="16" t="n">
        <f aca="false">COUNTIFS(Incidents!$E$2:$E$500,A11,Incidents!$O$2:$O$500,"Confirmed")</f>
        <v>0</v>
      </c>
      <c r="E11" s="16" t="n">
        <f aca="false">COUNTIFS(Incidents!$E$2:$E$500,A11,Incidents!$B$2:$B$500,"&gt;=2021")</f>
        <v>2</v>
      </c>
      <c r="F11" s="18" t="n">
        <f aca="false">SUMIF(Incidents!$E$2:$E$500,A11,Incidents!$K$2:$K$500)</f>
        <v>0</v>
      </c>
      <c r="G11" s="17" t="n">
        <f aca="false">IF($F$17=0,0,F11/$F$17)</f>
        <v>0</v>
      </c>
      <c r="H11" s="16" t="n">
        <f aca="false">IF(B11=0,"-",RANK(B11,$B$9:$B$16))</f>
        <v>3</v>
      </c>
    </row>
    <row r="12" customFormat="false" ht="15" hidden="false" customHeight="false" outlineLevel="0" collapsed="false">
      <c r="A12" s="15" t="s">
        <v>75</v>
      </c>
      <c r="B12" s="16" t="n">
        <f aca="false">COUNTIF(Incidents!$E$2:$E$500,A12)</f>
        <v>2</v>
      </c>
      <c r="C12" s="17" t="n">
        <f aca="false">IF($B$17=0,0,B12/$B$17)</f>
        <v>0.0909090909090909</v>
      </c>
      <c r="D12" s="16" t="n">
        <f aca="false">COUNTIFS(Incidents!$E$2:$E$500,A12,Incidents!$O$2:$O$500,"Confirmed")</f>
        <v>1</v>
      </c>
      <c r="E12" s="16" t="n">
        <f aca="false">COUNTIFS(Incidents!$E$2:$E$500,A12,Incidents!$B$2:$B$500,"&gt;=2021")</f>
        <v>0</v>
      </c>
      <c r="F12" s="18" t="n">
        <f aca="false">SUMIF(Incidents!$E$2:$E$500,A12,Incidents!$K$2:$K$500)</f>
        <v>0</v>
      </c>
      <c r="G12" s="17" t="n">
        <f aca="false">IF($F$17=0,0,F12/$F$17)</f>
        <v>0</v>
      </c>
      <c r="H12" s="16" t="n">
        <f aca="false">IF(B12=0,"-",RANK(B12,$B$9:$B$16))</f>
        <v>3</v>
      </c>
    </row>
    <row r="13" customFormat="false" ht="15" hidden="false" customHeight="false" outlineLevel="0" collapsed="false">
      <c r="A13" s="15" t="s">
        <v>218</v>
      </c>
      <c r="B13" s="16" t="n">
        <f aca="false">COUNTIF(Incidents!$E$2:$E$500,A13)</f>
        <v>1</v>
      </c>
      <c r="C13" s="17" t="n">
        <f aca="false">IF($B$17=0,0,B13/$B$17)</f>
        <v>0.0454545454545455</v>
      </c>
      <c r="D13" s="16" t="n">
        <f aca="false">COUNTIFS(Incidents!$E$2:$E$500,A13,Incidents!$O$2:$O$500,"Confirmed")</f>
        <v>1</v>
      </c>
      <c r="E13" s="16" t="n">
        <f aca="false">COUNTIFS(Incidents!$E$2:$E$500,A13,Incidents!$B$2:$B$500,"&gt;=2021")</f>
        <v>1</v>
      </c>
      <c r="F13" s="18" t="n">
        <f aca="false">SUMIF(Incidents!$E$2:$E$500,A13,Incidents!$K$2:$K$500)</f>
        <v>0</v>
      </c>
      <c r="G13" s="17" t="n">
        <f aca="false">IF($F$17=0,0,F13/$F$17)</f>
        <v>0</v>
      </c>
      <c r="H13" s="16" t="n">
        <f aca="false">IF(B13=0,"-",RANK(B13,$B$9:$B$16))</f>
        <v>5</v>
      </c>
    </row>
    <row r="14" customFormat="false" ht="15" hidden="false" customHeight="false" outlineLevel="0" collapsed="false">
      <c r="A14" s="15" t="s">
        <v>273</v>
      </c>
      <c r="B14" s="16" t="n">
        <f aca="false">COUNTIF(Incidents!$E$2:$E$500,A14)</f>
        <v>0</v>
      </c>
      <c r="C14" s="17" t="n">
        <f aca="false">IF($B$17=0,0,B14/$B$17)</f>
        <v>0</v>
      </c>
      <c r="D14" s="16" t="n">
        <f aca="false">COUNTIFS(Incidents!$E$2:$E$500,A14,Incidents!$O$2:$O$500,"Confirmed")</f>
        <v>0</v>
      </c>
      <c r="E14" s="16" t="n">
        <f aca="false">COUNTIFS(Incidents!$E$2:$E$500,A14,Incidents!$B$2:$B$500,"&gt;=2021")</f>
        <v>0</v>
      </c>
      <c r="F14" s="18" t="n">
        <f aca="false">SUMIF(Incidents!$E$2:$E$500,A14,Incidents!$K$2:$K$500)</f>
        <v>0</v>
      </c>
      <c r="G14" s="17" t="n">
        <f aca="false">IF($F$17=0,0,F14/$F$17)</f>
        <v>0</v>
      </c>
      <c r="H14" s="16" t="str">
        <f aca="false">IF(B14=0,"-",RANK(B14,$B$9:$B$16))</f>
        <v>-</v>
      </c>
    </row>
    <row r="15" customFormat="false" ht="15" hidden="false" customHeight="false" outlineLevel="0" collapsed="false">
      <c r="A15" s="15" t="s">
        <v>146</v>
      </c>
      <c r="B15" s="16" t="n">
        <f aca="false">COUNTIF(Incidents!$E$2:$E$500,A15)</f>
        <v>0</v>
      </c>
      <c r="C15" s="17" t="n">
        <f aca="false">IF($B$17=0,0,B15/$B$17)</f>
        <v>0</v>
      </c>
      <c r="D15" s="16" t="n">
        <f aca="false">COUNTIFS(Incidents!$E$2:$E$500,A15,Incidents!$O$2:$O$500,"Confirmed")</f>
        <v>0</v>
      </c>
      <c r="E15" s="16" t="n">
        <f aca="false">COUNTIFS(Incidents!$E$2:$E$500,A15,Incidents!$B$2:$B$500,"&gt;=2021")</f>
        <v>0</v>
      </c>
      <c r="F15" s="18" t="n">
        <f aca="false">SUMIF(Incidents!$E$2:$E$500,A15,Incidents!$K$2:$K$500)</f>
        <v>0</v>
      </c>
      <c r="G15" s="17" t="n">
        <f aca="false">IF($F$17=0,0,F15/$F$17)</f>
        <v>0</v>
      </c>
      <c r="H15" s="16" t="str">
        <f aca="false">IF(B15=0,"-",RANK(B15,$B$9:$B$16))</f>
        <v>-</v>
      </c>
    </row>
    <row r="16" customFormat="false" ht="15" hidden="false" customHeight="false" outlineLevel="0" collapsed="false">
      <c r="A16" s="15" t="s">
        <v>274</v>
      </c>
      <c r="B16" s="16" t="n">
        <f aca="false">COUNTIF(Incidents!$E$2:$E$500,A16)</f>
        <v>0</v>
      </c>
      <c r="C16" s="17" t="n">
        <f aca="false">IF($B$17=0,0,B16/$B$17)</f>
        <v>0</v>
      </c>
      <c r="D16" s="16" t="n">
        <f aca="false">COUNTIFS(Incidents!$E$2:$E$500,A16,Incidents!$O$2:$O$500,"Confirmed")</f>
        <v>0</v>
      </c>
      <c r="E16" s="16" t="n">
        <f aca="false">COUNTIFS(Incidents!$E$2:$E$500,A16,Incidents!$B$2:$B$500,"&gt;=2021")</f>
        <v>0</v>
      </c>
      <c r="F16" s="18" t="n">
        <f aca="false">SUMIF(Incidents!$E$2:$E$500,A16,Incidents!$K$2:$K$500)</f>
        <v>0</v>
      </c>
      <c r="G16" s="17" t="n">
        <f aca="false">IF($F$17=0,0,F16/$F$17)</f>
        <v>0</v>
      </c>
      <c r="H16" s="16" t="str">
        <f aca="false">IF(B16=0,"-",RANK(B16,$B$9:$B$16))</f>
        <v>-</v>
      </c>
    </row>
    <row r="17" customFormat="false" ht="15" hidden="false" customHeight="false" outlineLevel="0" collapsed="false">
      <c r="A17" s="19" t="s">
        <v>275</v>
      </c>
      <c r="B17" s="20" t="n">
        <f aca="false">SUM(B9:B16)</f>
        <v>22</v>
      </c>
      <c r="C17" s="21" t="n">
        <f aca="false">SUM(C9:C16)</f>
        <v>1</v>
      </c>
      <c r="D17" s="20" t="n">
        <f aca="false">SUM(D9:D16)</f>
        <v>9</v>
      </c>
      <c r="E17" s="20" t="n">
        <f aca="false">SUM(E9:E16)</f>
        <v>11</v>
      </c>
      <c r="F17" s="22" t="n">
        <f aca="false">SUM(F9:F16)</f>
        <v>87.491</v>
      </c>
      <c r="G17" s="21" t="n">
        <f aca="false">SUM(G9:G16)</f>
        <v>1</v>
      </c>
      <c r="H17" s="20"/>
    </row>
    <row r="18" customFormat="false" ht="15" hidden="false" customHeight="false" outlineLevel="0" collapsed="false">
      <c r="A18" s="11" t="s">
        <v>276</v>
      </c>
    </row>
    <row r="19" customFormat="false" ht="15" hidden="false" customHeight="false" outlineLevel="0" collapsed="false">
      <c r="A19" s="23" t="s">
        <v>277</v>
      </c>
    </row>
    <row r="20" customFormat="false" ht="15" hidden="false" customHeight="false" outlineLevel="0" collapsed="false">
      <c r="A20" s="1" t="s">
        <v>266</v>
      </c>
      <c r="B20" s="1" t="s">
        <v>278</v>
      </c>
      <c r="C20" s="1" t="s">
        <v>279</v>
      </c>
      <c r="D20" s="1" t="s">
        <v>280</v>
      </c>
    </row>
    <row r="21" customFormat="false" ht="15" hidden="false" customHeight="false" outlineLevel="0" collapsed="false">
      <c r="A21" s="24" t="s">
        <v>21</v>
      </c>
      <c r="B21" s="25" t="n">
        <f aca="false">COUNTIFS(Incidents!$E$2:$E$500,$A21,Incidents!$B$2:$B$500,"&gt;=2011",Incidents!$B$2:$B$500,"&lt;=2015")</f>
        <v>2</v>
      </c>
      <c r="C21" s="25" t="n">
        <f aca="false">COUNTIFS(Incidents!$E$2:$E$500,$A21,Incidents!$B$2:$B$500,"&gt;=2016",Incidents!$B$2:$B$500,"&lt;=2020")</f>
        <v>2</v>
      </c>
      <c r="D21" s="25" t="n">
        <f aca="false">COUNTIFS(Incidents!$E$2:$E$500,$A21,Incidents!$B$2:$B$500,"&gt;=2021",Incidents!$B$2:$B$500,"&lt;=2026")</f>
        <v>6</v>
      </c>
    </row>
    <row r="22" customFormat="false" ht="15" hidden="false" customHeight="false" outlineLevel="0" collapsed="false">
      <c r="A22" s="24" t="s">
        <v>36</v>
      </c>
      <c r="B22" s="25" t="n">
        <f aca="false">COUNTIFS(Incidents!$E$2:$E$500,$A22,Incidents!$B$2:$B$500,"&gt;=2011",Incidents!$B$2:$B$500,"&lt;=2015")</f>
        <v>3</v>
      </c>
      <c r="C22" s="25" t="n">
        <f aca="false">COUNTIFS(Incidents!$E$2:$E$500,$A22,Incidents!$B$2:$B$500,"&gt;=2016",Incidents!$B$2:$B$500,"&lt;=2020")</f>
        <v>2</v>
      </c>
      <c r="D22" s="25" t="n">
        <f aca="false">COUNTIFS(Incidents!$E$2:$E$500,$A22,Incidents!$B$2:$B$500,"&gt;=2021",Incidents!$B$2:$B$500,"&lt;=2026")</f>
        <v>2</v>
      </c>
    </row>
    <row r="23" customFormat="false" ht="15" hidden="false" customHeight="false" outlineLevel="0" collapsed="false">
      <c r="A23" s="24" t="s">
        <v>23</v>
      </c>
      <c r="B23" s="25" t="n">
        <f aca="false">COUNTIFS(Incidents!$E$2:$E$500,$A23,Incidents!$B$2:$B$500,"&gt;=2011",Incidents!$B$2:$B$500,"&lt;=2015")</f>
        <v>0</v>
      </c>
      <c r="C23" s="25" t="n">
        <f aca="false">COUNTIFS(Incidents!$E$2:$E$500,$A23,Incidents!$B$2:$B$500,"&gt;=2016",Incidents!$B$2:$B$500,"&lt;=2020")</f>
        <v>0</v>
      </c>
      <c r="D23" s="25" t="n">
        <f aca="false">COUNTIFS(Incidents!$E$2:$E$500,$A23,Incidents!$B$2:$B$500,"&gt;=2021",Incidents!$B$2:$B$500,"&lt;=2026")</f>
        <v>2</v>
      </c>
    </row>
    <row r="24" customFormat="false" ht="15" hidden="false" customHeight="false" outlineLevel="0" collapsed="false">
      <c r="A24" s="24" t="s">
        <v>75</v>
      </c>
      <c r="B24" s="25" t="n">
        <f aca="false">COUNTIFS(Incidents!$E$2:$E$500,$A24,Incidents!$B$2:$B$500,"&gt;=2011",Incidents!$B$2:$B$500,"&lt;=2015")</f>
        <v>1</v>
      </c>
      <c r="C24" s="25" t="n">
        <f aca="false">COUNTIFS(Incidents!$E$2:$E$500,$A24,Incidents!$B$2:$B$500,"&gt;=2016",Incidents!$B$2:$B$500,"&lt;=2020")</f>
        <v>1</v>
      </c>
      <c r="D24" s="25" t="n">
        <f aca="false">COUNTIFS(Incidents!$E$2:$E$500,$A24,Incidents!$B$2:$B$500,"&gt;=2021",Incidents!$B$2:$B$500,"&lt;=2026")</f>
        <v>0</v>
      </c>
    </row>
    <row r="25" customFormat="false" ht="15" hidden="false" customHeight="false" outlineLevel="0" collapsed="false">
      <c r="A25" s="24" t="s">
        <v>218</v>
      </c>
      <c r="B25" s="25" t="n">
        <f aca="false">COUNTIFS(Incidents!$E$2:$E$500,$A25,Incidents!$B$2:$B$500,"&gt;=2011",Incidents!$B$2:$B$500,"&lt;=2015")</f>
        <v>0</v>
      </c>
      <c r="C25" s="25" t="n">
        <f aca="false">COUNTIFS(Incidents!$E$2:$E$500,$A25,Incidents!$B$2:$B$500,"&gt;=2016",Incidents!$B$2:$B$500,"&lt;=2020")</f>
        <v>0</v>
      </c>
      <c r="D25" s="25" t="n">
        <f aca="false">COUNTIFS(Incidents!$E$2:$E$500,$A25,Incidents!$B$2:$B$500,"&gt;=2021",Incidents!$B$2:$B$500,"&lt;=2026")</f>
        <v>1</v>
      </c>
    </row>
    <row r="27" customFormat="false" ht="15" hidden="false" customHeight="false" outlineLevel="0" collapsed="false">
      <c r="A27" s="23" t="s">
        <v>281</v>
      </c>
    </row>
    <row r="28" customFormat="false" ht="23.85" hidden="false" customHeight="false" outlineLevel="0" collapsed="false">
      <c r="A28" s="1" t="s">
        <v>7</v>
      </c>
      <c r="B28" s="1" t="s">
        <v>267</v>
      </c>
      <c r="C28" s="1" t="s">
        <v>282</v>
      </c>
    </row>
    <row r="29" customFormat="false" ht="15" hidden="false" customHeight="false" outlineLevel="0" collapsed="false">
      <c r="A29" s="24" t="s">
        <v>38</v>
      </c>
      <c r="B29" s="25" t="n">
        <f aca="false">COUNTIF(Incidents!$H$2:$H$500,A29)</f>
        <v>6</v>
      </c>
      <c r="C29" s="25" t="n">
        <f aca="false">COUNTIFS(Incidents!$H$2:$H$500,A29,Incidents!$E$2:$E$500,"Financial Services")</f>
        <v>4</v>
      </c>
    </row>
    <row r="30" customFormat="false" ht="15" hidden="false" customHeight="false" outlineLevel="0" collapsed="false">
      <c r="A30" s="24" t="s">
        <v>51</v>
      </c>
      <c r="B30" s="25" t="n">
        <f aca="false">COUNTIF(Incidents!$H$2:$H$500,A30)</f>
        <v>5</v>
      </c>
      <c r="C30" s="25" t="n">
        <f aca="false">COUNTIFS(Incidents!$H$2:$H$500,A30,Incidents!$E$2:$E$500,"Financial Services")</f>
        <v>0</v>
      </c>
    </row>
    <row r="31" customFormat="false" ht="15" hidden="false" customHeight="false" outlineLevel="0" collapsed="false">
      <c r="A31" s="24" t="s">
        <v>113</v>
      </c>
      <c r="B31" s="25" t="n">
        <f aca="false">COUNTIF(Incidents!$H$2:$H$500,A31)</f>
        <v>3</v>
      </c>
      <c r="C31" s="25" t="n">
        <f aca="false">COUNTIFS(Incidents!$H$2:$H$500,A31,Incidents!$E$2:$E$500,"Financial Services")</f>
        <v>2</v>
      </c>
    </row>
    <row r="32" customFormat="false" ht="15" hidden="false" customHeight="false" outlineLevel="0" collapsed="false">
      <c r="A32" s="24" t="s">
        <v>24</v>
      </c>
      <c r="B32" s="25" t="n">
        <f aca="false">COUNTIF(Incidents!$H$2:$H$500,A32)</f>
        <v>2</v>
      </c>
      <c r="C32" s="25" t="n">
        <f aca="false">COUNTIFS(Incidents!$H$2:$H$500,A32,Incidents!$E$2:$E$500,"Financial Services")</f>
        <v>2</v>
      </c>
    </row>
    <row r="33" customFormat="false" ht="15" hidden="false" customHeight="false" outlineLevel="0" collapsed="false">
      <c r="A33" s="24" t="s">
        <v>77</v>
      </c>
      <c r="B33" s="25" t="n">
        <f aca="false">COUNTIF(Incidents!$H$2:$H$500,A33)</f>
        <v>2</v>
      </c>
      <c r="C33" s="25" t="n">
        <f aca="false">COUNTIFS(Incidents!$H$2:$H$500,A33,Incidents!$E$2:$E$500,"Financial Services")</f>
        <v>0</v>
      </c>
    </row>
    <row r="34" customFormat="false" ht="15" hidden="false" customHeight="false" outlineLevel="0" collapsed="false">
      <c r="A34" s="24" t="s">
        <v>196</v>
      </c>
      <c r="B34" s="25" t="n">
        <f aca="false">COUNTIF(Incidents!$H$2:$H$500,A34)</f>
        <v>2</v>
      </c>
      <c r="C34" s="25" t="n">
        <f aca="false">COUNTIFS(Incidents!$H$2:$H$500,A34,Incidents!$E$2:$E$500,"Financial Services")</f>
        <v>1</v>
      </c>
    </row>
    <row r="35" customFormat="false" ht="15" hidden="false" customHeight="false" outlineLevel="0" collapsed="false">
      <c r="A35" s="24" t="s">
        <v>124</v>
      </c>
      <c r="B35" s="25" t="n">
        <f aca="false">COUNTIF(Incidents!$H$2:$H$500,A35)</f>
        <v>1</v>
      </c>
      <c r="C35" s="25" t="n">
        <f aca="false">COUNTIFS(Incidents!$H$2:$H$500,A35,Incidents!$E$2:$E$500,"Financial Services")</f>
        <v>1</v>
      </c>
    </row>
    <row r="36" customFormat="false" ht="15" hidden="false" customHeight="false" outlineLevel="0" collapsed="false">
      <c r="A36" s="24" t="s">
        <v>240</v>
      </c>
      <c r="B36" s="25" t="n">
        <f aca="false">COUNTIF(Incidents!$H$2:$H$500,A36)</f>
        <v>1</v>
      </c>
      <c r="C36" s="25" t="n">
        <f aca="false">COUNTIFS(Incidents!$H$2:$H$500,A36,Incidents!$E$2:$E$500,"Financial Services")</f>
        <v>0</v>
      </c>
    </row>
    <row r="38" customFormat="false" ht="15" hidden="false" customHeight="false" outlineLevel="0" collapsed="false">
      <c r="A38" s="23" t="s">
        <v>283</v>
      </c>
    </row>
    <row r="39" customFormat="false" ht="15" hidden="false" customHeight="false" outlineLevel="0" collapsed="false">
      <c r="A39" s="1" t="s">
        <v>5</v>
      </c>
      <c r="B39" s="1" t="s">
        <v>267</v>
      </c>
      <c r="C39" s="1" t="s">
        <v>10</v>
      </c>
    </row>
    <row r="40" customFormat="false" ht="15" hidden="false" customHeight="false" outlineLevel="0" collapsed="false">
      <c r="A40" s="24" t="s">
        <v>123</v>
      </c>
      <c r="B40" s="25" t="n">
        <f aca="false">COUNTIFS(Incidents!$E$2:$E$500,"Financial Services",Incidents!$F$2:$F$500,A40)</f>
        <v>1</v>
      </c>
      <c r="C40" s="26" t="n">
        <f aca="false">SUMIFS(Incidents!$K$2:$K$500,Incidents!$E$2:$E$500,"Financial Services",Incidents!$F$2:$F$500,A40)</f>
        <v>0</v>
      </c>
    </row>
    <row r="41" customFormat="false" ht="15" hidden="false" customHeight="false" outlineLevel="0" collapsed="false">
      <c r="A41" s="24" t="s">
        <v>174</v>
      </c>
      <c r="B41" s="25" t="n">
        <f aca="false">COUNTIFS(Incidents!$E$2:$E$500,"Financial Services",Incidents!$F$2:$F$500,A41)</f>
        <v>1</v>
      </c>
      <c r="C41" s="26" t="n">
        <f aca="false">SUMIFS(Incidents!$K$2:$K$500,Incidents!$E$2:$E$500,"Financial Services",Incidents!$F$2:$F$500,A41)</f>
        <v>0</v>
      </c>
    </row>
    <row r="42" customFormat="false" ht="15" hidden="false" customHeight="false" outlineLevel="0" collapsed="false">
      <c r="A42" s="24" t="s">
        <v>207</v>
      </c>
      <c r="B42" s="25" t="n">
        <f aca="false">COUNTIFS(Incidents!$E$2:$E$500,"Financial Services",Incidents!$F$2:$F$500,A42)</f>
        <v>1</v>
      </c>
      <c r="C42" s="26" t="n">
        <f aca="false">SUMIFS(Incidents!$K$2:$K$500,Incidents!$E$2:$E$500,"Financial Services",Incidents!$F$2:$F$500,A42)</f>
        <v>53.5</v>
      </c>
    </row>
    <row r="43" customFormat="false" ht="15" hidden="false" customHeight="false" outlineLevel="0" collapsed="false">
      <c r="A43" s="24" t="s">
        <v>195</v>
      </c>
      <c r="B43" s="25" t="n">
        <f aca="false">COUNTIFS(Incidents!$E$2:$E$500,"Financial Services",Incidents!$F$2:$F$500,A43)</f>
        <v>2</v>
      </c>
      <c r="C43" s="26" t="n">
        <f aca="false">SUMIFS(Incidents!$K$2:$K$500,Incidents!$E$2:$E$500,"Financial Services",Incidents!$F$2:$F$500,A43)</f>
        <v>0</v>
      </c>
    </row>
    <row r="44" customFormat="false" ht="15" hidden="false" customHeight="false" outlineLevel="0" collapsed="false">
      <c r="A44" s="24" t="s">
        <v>165</v>
      </c>
      <c r="B44" s="25" t="n">
        <f aca="false">COUNTIFS(Incidents!$E$2:$E$500,"Financial Services",Incidents!$F$2:$F$500,A44)</f>
        <v>1</v>
      </c>
      <c r="C44" s="26" t="n">
        <f aca="false">SUMIFS(Incidents!$K$2:$K$500,Incidents!$E$2:$E$500,"Financial Services",Incidents!$F$2:$F$500,A44)</f>
        <v>0.4</v>
      </c>
    </row>
    <row r="45" customFormat="false" ht="15" hidden="false" customHeight="false" outlineLevel="0" collapsed="false">
      <c r="A45" s="24" t="s">
        <v>22</v>
      </c>
      <c r="B45" s="25" t="n">
        <f aca="false">COUNTIFS(Incidents!$E$2:$E$500,"Financial Services",Incidents!$F$2:$F$500,A45)</f>
        <v>3</v>
      </c>
      <c r="C45" s="26" t="n">
        <f aca="false">SUMIFS(Incidents!$K$2:$K$500,Incidents!$E$2:$E$500,"Financial Services",Incidents!$F$2:$F$500,A45)</f>
        <v>21.15</v>
      </c>
    </row>
    <row r="46" customFormat="false" ht="15" hidden="false" customHeight="false" outlineLevel="0" collapsed="false">
      <c r="A46" s="24" t="s">
        <v>135</v>
      </c>
      <c r="B46" s="25" t="n">
        <f aca="false">COUNTIFS(Incidents!$E$2:$E$500,"Financial Services",Incidents!$F$2:$F$500,A46)</f>
        <v>1</v>
      </c>
      <c r="C46" s="26" t="n">
        <f aca="false">SUMIFS(Incidents!$K$2:$K$500,Incidents!$E$2:$E$500,"Financial Services",Incidents!$F$2:$F$500,A46)</f>
        <v>10.441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26"/>
    <col collapsed="false" customWidth="true" hidden="false" outlineLevel="0" max="4" min="4" style="0" width="18"/>
    <col collapsed="false" customWidth="true" hidden="false" outlineLevel="0" max="5" min="5" style="0" width="16"/>
    <col collapsed="false" customWidth="true" hidden="false" outlineLevel="0" max="6" min="6" style="0" width="50"/>
    <col collapsed="false" customWidth="true" hidden="false" outlineLevel="0" max="7" min="7" style="0" width="46"/>
  </cols>
  <sheetData>
    <row r="1" customFormat="false" ht="17.35" hidden="false" customHeight="false" outlineLevel="0" collapsed="false">
      <c r="A1" s="10" t="s">
        <v>284</v>
      </c>
    </row>
    <row r="2" customFormat="false" ht="15" hidden="false" customHeight="false" outlineLevel="0" collapsed="false">
      <c r="A2" s="11" t="s">
        <v>285</v>
      </c>
    </row>
    <row r="4" customFormat="false" ht="31.5" hidden="false" customHeight="true" outlineLevel="0" collapsed="false">
      <c r="A4" s="1" t="s">
        <v>1</v>
      </c>
      <c r="B4" s="1" t="s">
        <v>286</v>
      </c>
      <c r="C4" s="1" t="s">
        <v>287</v>
      </c>
      <c r="D4" s="1" t="s">
        <v>288</v>
      </c>
      <c r="E4" s="1" t="s">
        <v>289</v>
      </c>
      <c r="F4" s="1" t="s">
        <v>290</v>
      </c>
      <c r="G4" s="1" t="s">
        <v>17</v>
      </c>
    </row>
    <row r="5" customFormat="false" ht="23.85" hidden="false" customHeight="false" outlineLevel="0" collapsed="false">
      <c r="A5" s="6" t="s">
        <v>291</v>
      </c>
      <c r="B5" s="6"/>
      <c r="C5" s="27" t="s">
        <v>292</v>
      </c>
      <c r="D5" s="8" t="n">
        <v>11.4466</v>
      </c>
      <c r="E5" s="8" t="n">
        <v>0.0519</v>
      </c>
      <c r="F5" s="6" t="s">
        <v>293</v>
      </c>
      <c r="G5" s="6" t="s">
        <v>294</v>
      </c>
    </row>
    <row r="6" customFormat="false" ht="23.85" hidden="false" customHeight="false" outlineLevel="0" collapsed="false">
      <c r="A6" s="6" t="s">
        <v>295</v>
      </c>
      <c r="B6" s="6" t="n">
        <v>286</v>
      </c>
      <c r="C6" s="27" t="str">
        <f aca="false">IF(OR(B6="",B5=""),"-",B6/B5-1)</f>
        <v>-</v>
      </c>
      <c r="D6" s="8" t="n">
        <v>19.2</v>
      </c>
      <c r="E6" s="8"/>
      <c r="F6" s="6" t="s">
        <v>296</v>
      </c>
      <c r="G6" s="6"/>
    </row>
    <row r="7" customFormat="false" ht="15" hidden="false" customHeight="false" outlineLevel="0" collapsed="false">
      <c r="A7" s="6" t="s">
        <v>297</v>
      </c>
      <c r="B7" s="6" t="n">
        <v>245</v>
      </c>
      <c r="C7" s="27" t="n">
        <f aca="false">IF(OR(B7="",B6=""),"-",B7/B6-1)</f>
        <v>-0.143356643356643</v>
      </c>
      <c r="D7" s="8" t="n">
        <v>5</v>
      </c>
      <c r="E7" s="8"/>
      <c r="F7" s="6" t="s">
        <v>298</v>
      </c>
      <c r="G7" s="6" t="s">
        <v>299</v>
      </c>
    </row>
    <row r="8" customFormat="false" ht="23.85" hidden="false" customHeight="false" outlineLevel="0" collapsed="false">
      <c r="A8" s="6" t="s">
        <v>300</v>
      </c>
      <c r="B8" s="6" t="n">
        <v>474</v>
      </c>
      <c r="C8" s="27" t="n">
        <f aca="false">IF(OR(B8="",B7=""),"-",B8/B7-1)</f>
        <v>0.934693877551021</v>
      </c>
      <c r="D8" s="8" t="n">
        <v>72.1</v>
      </c>
      <c r="E8" s="8" t="n">
        <v>0.42</v>
      </c>
      <c r="F8" s="6" t="s">
        <v>301</v>
      </c>
      <c r="G8" s="6" t="s">
        <v>302</v>
      </c>
    </row>
    <row r="9" customFormat="false" ht="23.85" hidden="false" customHeight="false" outlineLevel="0" collapsed="false">
      <c r="A9" s="6" t="s">
        <v>303</v>
      </c>
      <c r="B9" s="6" t="n">
        <v>412</v>
      </c>
      <c r="C9" s="27" t="n">
        <f aca="false">IF(OR(B9="",B8=""),"-",B9/B8-1)</f>
        <v>-0.130801687763713</v>
      </c>
      <c r="D9" s="8"/>
      <c r="E9" s="8"/>
      <c r="F9" s="6" t="s">
        <v>304</v>
      </c>
      <c r="G9" s="6" t="s">
        <v>305</v>
      </c>
    </row>
    <row r="11" customFormat="false" ht="15" hidden="false" customHeight="false" outlineLevel="0" collapsed="false">
      <c r="A11" s="23" t="s">
        <v>306</v>
      </c>
    </row>
    <row r="12" customFormat="false" ht="15" hidden="false" customHeight="false" outlineLevel="0" collapsed="false">
      <c r="A12" s="1" t="s">
        <v>307</v>
      </c>
      <c r="B12" s="1" t="s">
        <v>308</v>
      </c>
      <c r="C12" s="1" t="s">
        <v>309</v>
      </c>
      <c r="D12" s="1" t="s">
        <v>290</v>
      </c>
    </row>
    <row r="13" customFormat="false" ht="35.05" hidden="false" customHeight="false" outlineLevel="0" collapsed="false">
      <c r="A13" s="6" t="s">
        <v>300</v>
      </c>
      <c r="B13" s="6" t="s">
        <v>310</v>
      </c>
      <c r="C13" s="6" t="s">
        <v>311</v>
      </c>
      <c r="D13" s="6" t="s">
        <v>312</v>
      </c>
    </row>
    <row r="14" customFormat="false" ht="35.05" hidden="false" customHeight="false" outlineLevel="0" collapsed="false">
      <c r="A14" s="6" t="s">
        <v>300</v>
      </c>
      <c r="B14" s="6" t="s">
        <v>313</v>
      </c>
      <c r="C14" s="6" t="s">
        <v>314</v>
      </c>
      <c r="D14" s="6" t="s">
        <v>315</v>
      </c>
    </row>
    <row r="15" customFormat="false" ht="35.05" hidden="false" customHeight="false" outlineLevel="0" collapsed="false">
      <c r="A15" s="6" t="s">
        <v>300</v>
      </c>
      <c r="B15" s="6" t="s">
        <v>316</v>
      </c>
      <c r="C15" s="6" t="s">
        <v>317</v>
      </c>
      <c r="D15" s="6" t="s">
        <v>318</v>
      </c>
    </row>
    <row r="16" customFormat="false" ht="23.85" hidden="false" customHeight="false" outlineLevel="0" collapsed="false">
      <c r="A16" s="6" t="s">
        <v>319</v>
      </c>
      <c r="B16" s="6" t="s">
        <v>320</v>
      </c>
      <c r="C16" s="6" t="s">
        <v>321</v>
      </c>
      <c r="D16" s="6" t="s">
        <v>322</v>
      </c>
    </row>
    <row r="17" customFormat="false" ht="23.85" hidden="false" customHeight="false" outlineLevel="0" collapsed="false">
      <c r="A17" s="6" t="s">
        <v>295</v>
      </c>
      <c r="B17" s="6" t="s">
        <v>323</v>
      </c>
      <c r="C17" s="6" t="s">
        <v>324</v>
      </c>
      <c r="D17" s="6" t="s">
        <v>325</v>
      </c>
    </row>
    <row r="18" customFormat="false" ht="23.85" hidden="false" customHeight="false" outlineLevel="0" collapsed="false">
      <c r="A18" s="6" t="s">
        <v>291</v>
      </c>
      <c r="B18" s="6" t="s">
        <v>326</v>
      </c>
      <c r="C18" s="6" t="s">
        <v>327</v>
      </c>
      <c r="D18" s="6" t="s">
        <v>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0" t="s">
        <v>329</v>
      </c>
    </row>
    <row r="3" customFormat="false" ht="30" hidden="false" customHeight="true" outlineLevel="0" collapsed="false">
      <c r="A3" s="28" t="s">
        <v>330</v>
      </c>
      <c r="B3" s="29" t="s">
        <v>331</v>
      </c>
    </row>
    <row r="4" customFormat="false" ht="45" hidden="false" customHeight="true" outlineLevel="0" collapsed="false">
      <c r="A4" s="28" t="s">
        <v>332</v>
      </c>
      <c r="B4" s="29" t="s">
        <v>333</v>
      </c>
    </row>
    <row r="5" customFormat="false" ht="45" hidden="false" customHeight="true" outlineLevel="0" collapsed="false">
      <c r="A5" s="28" t="s">
        <v>4</v>
      </c>
      <c r="B5" s="29" t="s">
        <v>334</v>
      </c>
    </row>
    <row r="6" customFormat="false" ht="30" hidden="false" customHeight="true" outlineLevel="0" collapsed="false">
      <c r="A6" s="28" t="s">
        <v>29</v>
      </c>
      <c r="B6" s="29" t="s">
        <v>335</v>
      </c>
    </row>
    <row r="7" customFormat="false" ht="30" hidden="false" customHeight="true" outlineLevel="0" collapsed="false">
      <c r="A7" s="28" t="s">
        <v>56</v>
      </c>
      <c r="B7" s="29" t="s">
        <v>336</v>
      </c>
    </row>
    <row r="8" customFormat="false" ht="30" hidden="false" customHeight="true" outlineLevel="0" collapsed="false">
      <c r="A8" s="28" t="s">
        <v>257</v>
      </c>
      <c r="B8" s="29" t="s">
        <v>337</v>
      </c>
    </row>
    <row r="9" customFormat="false" ht="30" hidden="false" customHeight="true" outlineLevel="0" collapsed="false">
      <c r="A9" s="28" t="s">
        <v>245</v>
      </c>
      <c r="B9" s="29" t="s">
        <v>338</v>
      </c>
    </row>
    <row r="10" customFormat="false" ht="45" hidden="false" customHeight="true" outlineLevel="0" collapsed="false">
      <c r="A10" s="28" t="s">
        <v>339</v>
      </c>
      <c r="B10" s="29" t="s">
        <v>340</v>
      </c>
    </row>
    <row r="11" customFormat="false" ht="45" hidden="false" customHeight="true" outlineLevel="0" collapsed="false">
      <c r="A11" s="28" t="s">
        <v>341</v>
      </c>
      <c r="B11" s="29" t="s">
        <v>342</v>
      </c>
    </row>
    <row r="12" customFormat="false" ht="30" hidden="false" customHeight="true" outlineLevel="0" collapsed="false">
      <c r="A12" s="28" t="s">
        <v>343</v>
      </c>
      <c r="B12" s="29" t="s">
        <v>344</v>
      </c>
    </row>
    <row r="13" customFormat="false" ht="30" hidden="false" customHeight="true" outlineLevel="0" collapsed="false">
      <c r="A13" s="28" t="s">
        <v>345</v>
      </c>
      <c r="B13" s="29"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2026-09-15T13:38:52Z</dcterms:created>
  <dc:creator>openpyxl</dc:creator>
  <dc:description/>
  <dc:language>en-US</dc:language>
  <cp:lastModifiedBy/>
  <dcterms:modified xsi:type="dcterms:W3CDTF">2026-09-15T13:38:54Z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